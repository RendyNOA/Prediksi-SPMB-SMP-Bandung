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ources &amp; Method" sheetId="1" state="visible" r:id="rId3"/>
    <sheet name="Calculator" sheetId="2" state="visible" r:id="rId4"/>
    <sheet name="Schools 2026" sheetId="3" state="visible" r:id="rId5"/>
    <sheet name="Zone B Domicile" sheetId="4" state="visible" r:id="rId6"/>
    <sheet name="Report 2023-2025" sheetId="5" state="visible" r:id="rId7"/>
    <sheet name="Competition Scores" sheetId="6" state="visible" r:id="rId8"/>
    <sheet name="Senior High 2026" sheetId="7" state="visible" r:id="rId9"/>
  </sheets>
  <definedNames>
    <definedName function="false" hidden="true" localSheetId="2" name="_xlnm._FilterDatabase" vbProcedure="false">'Schools 2026'!$A$1:$U$76</definedName>
    <definedName function="false" hidden="true" localSheetId="6" name="_xlnm._FilterDatabase" vbProcedure="false">'Senior High 2026'!$A$1:$M$28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<sst xmlns="http://schemas.openxmlformats.org/spreadsheetml/2006/main" count="776" uniqueCount="371">
  <si>
    <t xml:space="preserve">Bandung SPMB Admission Predictor · worked example</t>
  </si>
  <si>
    <t xml:space="preserve">Data collected 23 October 2026 from official SPMB portals. No personal student data is stored; only per-school statistics (min, median, max, counts).</t>
  </si>
  <si>
    <t xml:space="preserve">Data</t>
  </si>
  <si>
    <t xml:space="preserve">Content</t>
  </si>
  <si>
    <t xml:space="preserve">Source</t>
  </si>
  <si>
    <t xml:space="preserve">Recap 2023–2025</t>
  </si>
  <si>
    <t xml:space="preserve">Lowest and highest admitted score/distance per school per track (Recapitulation page). 2023–2024 = zoning, 2025 = domicile.</t>
  </si>
  <si>
    <t xml:space="preserve">https://spmb.bandung.go.id/recapitulation</t>
  </si>
  <si>
    <t xml:space="preserve">Quotas &amp; applicants 2026</t>
  </si>
  <si>
    <t xml:space="preserve">Final quota per track and applicant count per school (School Info page).</t>
  </si>
  <si>
    <t xml:space="preserve">https://spmb.bandung.go.id/school-info</t>
  </si>
  <si>
    <t xml:space="preserve">2026 selection results, Round 1</t>
  </si>
  <si>
    <t xml:space="preserve">Score and TKA of every student admitted via report-card and competition tracks, aggregated to min/median/max.</t>
  </si>
  <si>
    <t xml:space="preserve">https://spmb.bandung.go.id/selection-result/one-pharse</t>
  </si>
  <si>
    <t xml:space="preserve">2026 selection results, Round 2</t>
  </si>
  <si>
    <t xml:space="preserve">Distance of every student admitted via domicile, aggregated to the farthest distance (cut-off).</t>
  </si>
  <si>
    <t xml:space="preserve">https://spmb.bandung.go.id/selection-result/two-pharse</t>
  </si>
  <si>
    <t xml:space="preserve">Domicile zone</t>
  </si>
  <si>
    <t xml:space="preserve">The 19 public junior high schools in Zone B (east Bandung), from the Schools by Zone &amp; Distance tool.</t>
  </si>
  <si>
    <t xml:space="preserve">https://spmb.bandung.go.id/home</t>
  </si>
  <si>
    <t xml:space="preserve">SPMB 2026 Guide</t>
  </si>
  <si>
    <t xml:space="preserve">Report-card score formula, rank bonus, competition score table, number of choices, round flow.</t>
  </si>
  <si>
    <t xml:space="preserve">https://spmb.bandung.go.id/document (PANDUAN SPMB 2026)</t>
  </si>
  <si>
    <t xml:space="preserve">SPMB West Java senior high 2026</t>
  </si>
  <si>
    <t xml:space="preserve">Final standings per public senior high in Bandung: lowest/median report score, farthest domicile distance. Applicants' junior high is not published.</t>
  </si>
  <si>
    <t xml:space="preserve">https://spmb.jabarprov.go.id/sekolah</t>
  </si>
  <si>
    <t xml:space="preserve">Home location</t>
  </si>
  <si>
    <t xml:space="preserve">Example: Ujungberung town square. Change it in the yellow cells.</t>
  </si>
  <si>
    <t xml:space="preserve">Your input</t>
  </si>
  <si>
    <t xml:space="preserve">Example grades</t>
  </si>
  <si>
    <t xml:space="preserve">Made-up grades for two example students. Replace with real grades.</t>
  </si>
  <si>
    <t xml:space="preserve">Example</t>
  </si>
  <si>
    <t xml:space="preserve">Model assumptions (editable, yellow cells)</t>
  </si>
  <si>
    <t xml:space="preserve">Uncertainty of the student's TKA (points)</t>
  </si>
  <si>
    <t xml:space="preserve">TKA not yet taken; ±7 points.</t>
  </si>
  <si>
    <t xml:space="preserve">Year-to-year cut-off volatility, selective schools</t>
  </si>
  <si>
    <t xml:space="preserve">From 2023–2025 min-score variation (old scale), SMPN 8/17/56/50.</t>
  </si>
  <si>
    <t xml:space="preserve">Cut-off volatility, non-selective schools</t>
  </si>
  <si>
    <t xml:space="preserve">Risk an open school turns selective (outside Zone B)</t>
  </si>
  <si>
    <t xml:space="preserve">Zone B uses each school's 2023–2025 history.</t>
  </si>
  <si>
    <t xml:space="preserve">Competition cut-off volatility</t>
  </si>
  <si>
    <t xml:space="preserve">Maximum competition-track probability</t>
  </si>
  <si>
    <t xml:space="preserve">Residual certificate-verification risk.</t>
  </si>
  <si>
    <t xml:space="preserve">Minimum domicile cut-off uncertainty (log)</t>
  </si>
  <si>
    <t xml:space="preserve">Weight of 2023 in domicile cut-off</t>
  </si>
  <si>
    <t xml:space="preserve">Weight 2024</t>
  </si>
  <si>
    <t xml:space="preserve">Weight 2025</t>
  </si>
  <si>
    <t xml:space="preserve">Weight 2026</t>
  </si>
  <si>
    <t xml:space="preserve">Senior high domicile cut-off uncertainty (log)</t>
  </si>
  <si>
    <t xml:space="preserve">Home latitude</t>
  </si>
  <si>
    <t xml:space="preserve">Home longitude</t>
  </si>
  <si>
    <t xml:space="preserve">How it is calculated</t>
  </si>
  <si>
    <t xml:space="preserve">•</t>
  </si>
  <si>
    <t xml:space="preserve">Report average = mean of 8 subjects (religion, Pancasila, Indonesian, mathematics, science &amp; social, arts &amp; crafts, physical ed., English) × 5 semesters (grades 4, 5, grade 6 sem 1). Sundanese and environmental studies are excluded.</t>
  </si>
  <si>
    <t xml:space="preserve">Final TKA = mean of Indonesian and Mathematics TKA (admitted 2026 TKA scores always end in .00/.33/.67, consistent with averaging two scores).</t>
  </si>
  <si>
    <t xml:space="preserve">Report score (2026 Guide): NA = 70% × (40% × report average + Bonus) + 30% × TKA; Bonus = 60 − (60/28) × (rank − 1) for ranks 1–3, otherwise 0.</t>
  </si>
  <si>
    <t xml:space="preserve">Report-card probability, selective school (2026 min &gt; 80): NORM.S.DIST((NA − min2026) / √((0.3·sdTKA)² + sdSel²)).</t>
  </si>
  <si>
    <t xml:space="preserve">Report-card probability, open school: (1 − pflip) × NORM.S.DIST((NA − (min+1)) / √(..²+sdOpen²)) + pflip × NORM.S.DIST((NA − 85)/√(..²+2.5²)); pflip = min(0.6, selective years 2023–2025 ÷ 4 × 0.6).</t>
  </si>
  <si>
    <t xml:space="preserve">Competition probability: MIN(capKej, NORM.S.DIST((highest certificate score − lowest admitted 2026 + 0.5) / sdKej)). Score 999 = direct admission (national champion).</t>
  </si>
  <si>
    <t xml:space="preserve">Domicile probability: next year's distance cut-off is log-normal; μ = Σ weight × ln(that year's cut-off), σ = max(sdDomMin, weighted SD); probability = 1 − NORM.S.DIST((ln distance − μ)/σ).</t>
  </si>
  <si>
    <t xml:space="preserve">Round 1 probability = 1 − (1−P1)(1−P2). Public school seat = 1 − (1−Round 1)(1−Round 2). Choices are treated as independent (a simplification).</t>
  </si>
  <si>
    <t xml:space="preserve">Distance = straight line (haversine) from home coordinates to the school coordinates in the SPMB system.</t>
  </si>
  <si>
    <t xml:space="preserve">Limitations: next year's rules are not published; no official teaching-quality data exists; cut-off scores and demand measure selectivity, not quality.</t>
  </si>
  <si>
    <t xml:space="preserve">Calculator · edit the yellow cells (blue text = input)</t>
  </si>
  <si>
    <t xml:space="preserve">Empty semesters are skipped. Certificate codes: organizer gov / other / eduoffice / mass / none; level city / prov / nat / intl; type 0 = individual, 1 = team.</t>
  </si>
  <si>
    <t xml:space="preserve">Student A</t>
  </si>
  <si>
    <t xml:space="preserve">Subject</t>
  </si>
  <si>
    <t xml:space="preserve">G4 S1</t>
  </si>
  <si>
    <t xml:space="preserve">G4 S2</t>
  </si>
  <si>
    <t xml:space="preserve">G5 S1</t>
  </si>
  <si>
    <t xml:space="preserve">G5 S2</t>
  </si>
  <si>
    <t xml:space="preserve">G6 S1</t>
  </si>
  <si>
    <t xml:space="preserve">Avg</t>
  </si>
  <si>
    <t xml:space="preserve">Religion (PABP)</t>
  </si>
  <si>
    <t xml:space="preserve">Pancasila</t>
  </si>
  <si>
    <t xml:space="preserve">Indonesian</t>
  </si>
  <si>
    <t xml:space="preserve">Mathematics</t>
  </si>
  <si>
    <t xml:space="preserve">Science &amp; Social</t>
  </si>
  <si>
    <t xml:space="preserve">Arts &amp; Crafts</t>
  </si>
  <si>
    <t xml:space="preserve">Physical Ed.</t>
  </si>
  <si>
    <t xml:space="preserve">English</t>
  </si>
  <si>
    <t xml:space="preserve">Semester avg</t>
  </si>
  <si>
    <t xml:space="preserve">Report average (8 subjects)</t>
  </si>
  <si>
    <t xml:space="preserve">Mean of all filled cells</t>
  </si>
  <si>
    <t xml:space="preserve">Class rank</t>
  </si>
  <si>
    <t xml:space="preserve">TKA Indonesian</t>
  </si>
  <si>
    <t xml:space="preserve">Estimate</t>
  </si>
  <si>
    <t xml:space="preserve">TKA Mathematics</t>
  </si>
  <si>
    <t xml:space="preserve">Final TKA</t>
  </si>
  <si>
    <t xml:space="preserve">Rank bonus</t>
  </si>
  <si>
    <t xml:space="preserve">Report score (NA)</t>
  </si>
  <si>
    <t xml:space="preserve">Certificate 1: organizer / level / place / type</t>
  </si>
  <si>
    <t xml:space="preserve">none</t>
  </si>
  <si>
    <t xml:space="preserve">city</t>
  </si>
  <si>
    <t xml:space="preserve">← score</t>
  </si>
  <si>
    <t xml:space="preserve">Certificate 2: organizer / level / place / type</t>
  </si>
  <si>
    <t xml:space="preserve">Competition score (highest)</t>
  </si>
  <si>
    <t xml:space="preserve">999 = direct admission</t>
  </si>
  <si>
    <t xml:space="preserve">Round 1 track</t>
  </si>
  <si>
    <t xml:space="preserve">report</t>
  </si>
  <si>
    <t xml:space="preserve">report / comp</t>
  </si>
  <si>
    <t xml:space="preserve">Choice 1 (code, e.g. N17)</t>
  </si>
  <si>
    <t xml:space="preserve">N17</t>
  </si>
  <si>
    <t xml:space="preserve">Choice 2</t>
  </si>
  <si>
    <t xml:space="preserve">N46</t>
  </si>
  <si>
    <t xml:space="preserve">Choice 1 probability</t>
  </si>
  <si>
    <t xml:space="preserve">Choice 2 probability</t>
  </si>
  <si>
    <t xml:space="preserve">Round 1 probability</t>
  </si>
  <si>
    <t xml:space="preserve">Student B</t>
  </si>
  <si>
    <t xml:space="preserve">gov</t>
  </si>
  <si>
    <t xml:space="preserve">prov</t>
  </si>
  <si>
    <t xml:space="preserve">other</t>
  </si>
  <si>
    <t xml:space="preserve">comp</t>
  </si>
  <si>
    <t xml:space="preserve">N8</t>
  </si>
  <si>
    <t xml:space="preserve">N56</t>
  </si>
  <si>
    <t xml:space="preserve">Round 2 · domicile (same home for both examples)</t>
  </si>
  <si>
    <t xml:space="preserve">Domicile choice 1 (code)</t>
  </si>
  <si>
    <t xml:space="preserve">Domicile choice 2 (code)</t>
  </si>
  <si>
    <t xml:space="preserve">N50</t>
  </si>
  <si>
    <t xml:space="preserve">Domicile probability 1</t>
  </si>
  <si>
    <t xml:space="preserve">Domicile probability 2</t>
  </si>
  <si>
    <t xml:space="preserve">Round 2 probability</t>
  </si>
  <si>
    <t xml:space="preserve">SUMMARY</t>
  </si>
  <si>
    <t xml:space="preserve">Round 1 admission</t>
  </si>
  <si>
    <t xml:space="preserve">Public school seat (Round 1 or 2)</t>
  </si>
  <si>
    <t xml:space="preserve">Code</t>
  </si>
  <si>
    <t xml:space="preserve">School</t>
  </si>
  <si>
    <t xml:space="preserve">Zone</t>
  </si>
  <si>
    <t xml:space="preserve">Lat</t>
  </si>
  <si>
    <t xml:space="preserve">Lng</t>
  </si>
  <si>
    <t xml:space="preserve">Home distance (m)</t>
  </si>
  <si>
    <t xml:space="preserve">Report quota</t>
  </si>
  <si>
    <t xml:space="preserve">Report applicants</t>
  </si>
  <si>
    <t xml:space="preserve">Report demand (×)</t>
  </si>
  <si>
    <t xml:space="preserve">Report min score</t>
  </si>
  <si>
    <t xml:space="preserve">Report median score</t>
  </si>
  <si>
    <t xml:space="preserve">Admitted TKA median</t>
  </si>
  <si>
    <t xml:space="preserve">Competition quota</t>
  </si>
  <si>
    <t xml:space="preserve">Competition applicants</t>
  </si>
  <si>
    <t xml:space="preserve">Competition min score</t>
  </si>
  <si>
    <t xml:space="preserve">pflip (selective 2023–25)</t>
  </si>
  <si>
    <t xml:space="preserve">Report prob. Student A</t>
  </si>
  <si>
    <t xml:space="preserve">Report prob. Student B</t>
  </si>
  <si>
    <t xml:space="preserve">Competition prob. Student A</t>
  </si>
  <si>
    <t xml:space="preserve">Competition prob. Student B</t>
  </si>
  <si>
    <t xml:space="preserve">Selectivity rank</t>
  </si>
  <si>
    <t xml:space="preserve">N1</t>
  </si>
  <si>
    <t xml:space="preserve">SMPN 1</t>
  </si>
  <si>
    <t xml:space="preserve">D</t>
  </si>
  <si>
    <t xml:space="preserve">N2</t>
  </si>
  <si>
    <t xml:space="preserve">SMPN 2</t>
  </si>
  <si>
    <t xml:space="preserve">A</t>
  </si>
  <si>
    <t xml:space="preserve">N3</t>
  </si>
  <si>
    <t xml:space="preserve">SMPN 3</t>
  </si>
  <si>
    <t xml:space="preserve">C</t>
  </si>
  <si>
    <t xml:space="preserve">N4</t>
  </si>
  <si>
    <t xml:space="preserve">SMPN 4</t>
  </si>
  <si>
    <t xml:space="preserve">N5</t>
  </si>
  <si>
    <t xml:space="preserve">SMPN 5</t>
  </si>
  <si>
    <t xml:space="preserve">N6</t>
  </si>
  <si>
    <t xml:space="preserve">SMPN 6</t>
  </si>
  <si>
    <t xml:space="preserve">N7</t>
  </si>
  <si>
    <t xml:space="preserve">SMPN 7</t>
  </si>
  <si>
    <t xml:space="preserve">SMPN 8</t>
  </si>
  <si>
    <t xml:space="preserve">B</t>
  </si>
  <si>
    <t xml:space="preserve">N9</t>
  </si>
  <si>
    <t xml:space="preserve">SMPN 9</t>
  </si>
  <si>
    <t xml:space="preserve">N10</t>
  </si>
  <si>
    <t xml:space="preserve">SMPN 10</t>
  </si>
  <si>
    <t xml:space="preserve">N11</t>
  </si>
  <si>
    <t xml:space="preserve">SMPN 11</t>
  </si>
  <si>
    <t xml:space="preserve">N12</t>
  </si>
  <si>
    <t xml:space="preserve">SMPN 12</t>
  </si>
  <si>
    <t xml:space="preserve">N13</t>
  </si>
  <si>
    <t xml:space="preserve">SMPN 13</t>
  </si>
  <si>
    <t xml:space="preserve">N14</t>
  </si>
  <si>
    <t xml:space="preserve">SMPN 14</t>
  </si>
  <si>
    <t xml:space="preserve">N15</t>
  </si>
  <si>
    <t xml:space="preserve">SMPN 15</t>
  </si>
  <si>
    <t xml:space="preserve">N16</t>
  </si>
  <si>
    <t xml:space="preserve">SMPN 16</t>
  </si>
  <si>
    <t xml:space="preserve">SMPN 17</t>
  </si>
  <si>
    <t xml:space="preserve">N18</t>
  </si>
  <si>
    <t xml:space="preserve">SMPN 18</t>
  </si>
  <si>
    <t xml:space="preserve">N19</t>
  </si>
  <si>
    <t xml:space="preserve">SMPN 19</t>
  </si>
  <si>
    <t xml:space="preserve">N20</t>
  </si>
  <si>
    <t xml:space="preserve">SMPN 20</t>
  </si>
  <si>
    <t xml:space="preserve">N21</t>
  </si>
  <si>
    <t xml:space="preserve">SMPN 21</t>
  </si>
  <si>
    <t xml:space="preserve">N22</t>
  </si>
  <si>
    <t xml:space="preserve">SMPN 22</t>
  </si>
  <si>
    <t xml:space="preserve">N23</t>
  </si>
  <si>
    <t xml:space="preserve">SMPN 23</t>
  </si>
  <si>
    <t xml:space="preserve">N24</t>
  </si>
  <si>
    <t xml:space="preserve">SMPN 24</t>
  </si>
  <si>
    <t xml:space="preserve">N25</t>
  </si>
  <si>
    <t xml:space="preserve">SMPN 25</t>
  </si>
  <si>
    <t xml:space="preserve">N26</t>
  </si>
  <si>
    <t xml:space="preserve">SMPN 26</t>
  </si>
  <si>
    <t xml:space="preserve">N27</t>
  </si>
  <si>
    <t xml:space="preserve">SMPN 27</t>
  </si>
  <si>
    <t xml:space="preserve">N28</t>
  </si>
  <si>
    <t xml:space="preserve">SMPN 28</t>
  </si>
  <si>
    <t xml:space="preserve">N29</t>
  </si>
  <si>
    <t xml:space="preserve">SMPN 29</t>
  </si>
  <si>
    <t xml:space="preserve">N30</t>
  </si>
  <si>
    <t xml:space="preserve">SMPN 30</t>
  </si>
  <si>
    <t xml:space="preserve">N31</t>
  </si>
  <si>
    <t xml:space="preserve">SMPN 31</t>
  </si>
  <si>
    <t xml:space="preserve">N32</t>
  </si>
  <si>
    <t xml:space="preserve">SMPN 32</t>
  </si>
  <si>
    <t xml:space="preserve">N33</t>
  </si>
  <si>
    <t xml:space="preserve">SMPN 33</t>
  </si>
  <si>
    <t xml:space="preserve">N34</t>
  </si>
  <si>
    <t xml:space="preserve">SMPN 34</t>
  </si>
  <si>
    <t xml:space="preserve">N35</t>
  </si>
  <si>
    <t xml:space="preserve">SMPN 35</t>
  </si>
  <si>
    <t xml:space="preserve">N36</t>
  </si>
  <si>
    <t xml:space="preserve">SMPN 36</t>
  </si>
  <si>
    <t xml:space="preserve">N37</t>
  </si>
  <si>
    <t xml:space="preserve">SMPN 37</t>
  </si>
  <si>
    <t xml:space="preserve">N38</t>
  </si>
  <si>
    <t xml:space="preserve">SMPN 38</t>
  </si>
  <si>
    <t xml:space="preserve">N39</t>
  </si>
  <si>
    <t xml:space="preserve">SMPN 39</t>
  </si>
  <si>
    <t xml:space="preserve">N40</t>
  </si>
  <si>
    <t xml:space="preserve">SMPN 40</t>
  </si>
  <si>
    <t xml:space="preserve">N41</t>
  </si>
  <si>
    <t xml:space="preserve">SMPN 41</t>
  </si>
  <si>
    <t xml:space="preserve">N42</t>
  </si>
  <si>
    <t xml:space="preserve">SMPN 42</t>
  </si>
  <si>
    <t xml:space="preserve">N43</t>
  </si>
  <si>
    <t xml:space="preserve">SMPN 43</t>
  </si>
  <si>
    <t xml:space="preserve">N44</t>
  </si>
  <si>
    <t xml:space="preserve">SMPN 44</t>
  </si>
  <si>
    <t xml:space="preserve">N45</t>
  </si>
  <si>
    <t xml:space="preserve">SMPN 45</t>
  </si>
  <si>
    <t xml:space="preserve">SMPN 46</t>
  </si>
  <si>
    <t xml:space="preserve">N47</t>
  </si>
  <si>
    <t xml:space="preserve">SMPN 47</t>
  </si>
  <si>
    <t xml:space="preserve">N48</t>
  </si>
  <si>
    <t xml:space="preserve">SMPN 48</t>
  </si>
  <si>
    <t xml:space="preserve">N49</t>
  </si>
  <si>
    <t xml:space="preserve">SMPN 49</t>
  </si>
  <si>
    <t xml:space="preserve">SMPN 50</t>
  </si>
  <si>
    <t xml:space="preserve">N51</t>
  </si>
  <si>
    <t xml:space="preserve">SMPN 51</t>
  </si>
  <si>
    <t xml:space="preserve">N52</t>
  </si>
  <si>
    <t xml:space="preserve">SMPN 52</t>
  </si>
  <si>
    <t xml:space="preserve">N53</t>
  </si>
  <si>
    <t xml:space="preserve">SMPN 53</t>
  </si>
  <si>
    <t xml:space="preserve">N54</t>
  </si>
  <si>
    <t xml:space="preserve">SMPN 54</t>
  </si>
  <si>
    <t xml:space="preserve">N55</t>
  </si>
  <si>
    <t xml:space="preserve">SMPN 55</t>
  </si>
  <si>
    <t xml:space="preserve">SMPN 56</t>
  </si>
  <si>
    <t xml:space="preserve">N57</t>
  </si>
  <si>
    <t xml:space="preserve">SMPN 57</t>
  </si>
  <si>
    <t xml:space="preserve">N58</t>
  </si>
  <si>
    <t xml:space="preserve">SMPN 58</t>
  </si>
  <si>
    <t xml:space="preserve">N59</t>
  </si>
  <si>
    <t xml:space="preserve">SMPN 59</t>
  </si>
  <si>
    <t xml:space="preserve">N60</t>
  </si>
  <si>
    <t xml:space="preserve">SMPN 60</t>
  </si>
  <si>
    <t xml:space="preserve">N61</t>
  </si>
  <si>
    <t xml:space="preserve">SMPN 61</t>
  </si>
  <si>
    <t xml:space="preserve">N62</t>
  </si>
  <si>
    <t xml:space="preserve">SMPN 62</t>
  </si>
  <si>
    <t xml:space="preserve">N63</t>
  </si>
  <si>
    <t xml:space="preserve">SMPN 63</t>
  </si>
  <si>
    <t xml:space="preserve">N64</t>
  </si>
  <si>
    <t xml:space="preserve">SMPN 64</t>
  </si>
  <si>
    <t xml:space="preserve">N65</t>
  </si>
  <si>
    <t xml:space="preserve">SMPN 65</t>
  </si>
  <si>
    <t xml:space="preserve">N66</t>
  </si>
  <si>
    <t xml:space="preserve">SMPN 66</t>
  </si>
  <si>
    <t xml:space="preserve">N67</t>
  </si>
  <si>
    <t xml:space="preserve">SMPN 67</t>
  </si>
  <si>
    <t xml:space="preserve">N68</t>
  </si>
  <si>
    <t xml:space="preserve">SMPN 68</t>
  </si>
  <si>
    <t xml:space="preserve">N69</t>
  </si>
  <si>
    <t xml:space="preserve">SMPN 69</t>
  </si>
  <si>
    <t xml:space="preserve">N70</t>
  </si>
  <si>
    <t xml:space="preserve">SMPN 70</t>
  </si>
  <si>
    <t xml:space="preserve">N71</t>
  </si>
  <si>
    <t xml:space="preserve">SMPN 71</t>
  </si>
  <si>
    <t xml:space="preserve">N72</t>
  </si>
  <si>
    <t xml:space="preserve">SMPN 72</t>
  </si>
  <si>
    <t xml:space="preserve">N73</t>
  </si>
  <si>
    <t xml:space="preserve">SMPN 73</t>
  </si>
  <si>
    <t xml:space="preserve">N74</t>
  </si>
  <si>
    <t xml:space="preserve">SMPN 74</t>
  </si>
  <si>
    <t xml:space="preserve">N75</t>
  </si>
  <si>
    <t xml:space="preserve">SMPN 75</t>
  </si>
  <si>
    <t xml:space="preserve">Source: spmb.bandung.go.id · School Info (quotas/applicants) &amp; 2026 Round 1 results (admitted scores, aggregated). Quotas are final system figures. Probabilities use the formulas on the Sources &amp; Method sheet.</t>
  </si>
  <si>
    <t xml:space="preserve">Sub-district</t>
  </si>
  <si>
    <t xml:space="preserve">Cut-off 2023 (m)</t>
  </si>
  <si>
    <t xml:space="preserve">Cut-off 2024 (m)</t>
  </si>
  <si>
    <t xml:space="preserve">Cut-off 2025 (m)</t>
  </si>
  <si>
    <t xml:space="preserve">Cut-off 2026 (m)</t>
  </si>
  <si>
    <t xml:space="preserve">Domicile quota 2026</t>
  </si>
  <si>
    <t xml:space="preserve">Applicants 2026</t>
  </si>
  <si>
    <t xml:space="preserve">Demand (×)</t>
  </si>
  <si>
    <t xml:space="preserve">μ (log)</t>
  </si>
  <si>
    <t xml:space="preserve">σ (log)</t>
  </si>
  <si>
    <t xml:space="preserve">Projected cut-off (m)</t>
  </si>
  <si>
    <t xml:space="preserve">Range low–high (m)</t>
  </si>
  <si>
    <t xml:space="preserve">Domicile probability</t>
  </si>
  <si>
    <t xml:space="preserve">Ujungberung</t>
  </si>
  <si>
    <t xml:space="preserve">Arcamanik</t>
  </si>
  <si>
    <t xml:space="preserve">Rancasari</t>
  </si>
  <si>
    <t xml:space="preserve">Antapani</t>
  </si>
  <si>
    <t xml:space="preserve">Cibiru</t>
  </si>
  <si>
    <t xml:space="preserve">Mandalajati</t>
  </si>
  <si>
    <t xml:space="preserve">Gedebage</t>
  </si>
  <si>
    <t xml:space="preserve">Panyileukan</t>
  </si>
  <si>
    <t xml:space="preserve">Cinambo</t>
  </si>
  <si>
    <t xml:space="preserve">Source: spmb.bandung.go.id Recapitulation (2023–2025; 2023–2024 from the zoning track) and 2026 Round 2 results (farthest admitted distance). Zone B residents may only choose Zone B schools on this track.</t>
  </si>
  <si>
    <t xml:space="preserve">Min score 2023</t>
  </si>
  <si>
    <t xml:space="preserve">Min score 2024</t>
  </si>
  <si>
    <t xml:space="preserve">Min score 2025</t>
  </si>
  <si>
    <t xml:space="preserve">Min score 2026 (new formula)</t>
  </si>
  <si>
    <t xml:space="preserve">Note</t>
  </si>
  <si>
    <t xml:space="preserve">2023–2025: NA = 40% report average + rank bonus (max 100, no TKA). 2026: NA = 70% × NR + 30% × TKA. Scores &gt; 80 require rank 1–3. Source: spmb.bandung.go.id Recapitulation.</t>
  </si>
  <si>
    <t xml:space="preserve">Organizer</t>
  </si>
  <si>
    <t xml:space="preserve">Level</t>
  </si>
  <si>
    <t xml:space="preserve">Place</t>
  </si>
  <si>
    <t xml:space="preserve">Type (0=individual,1=team)</t>
  </si>
  <si>
    <t xml:space="preserve">Key</t>
  </si>
  <si>
    <t xml:space="preserve">Score</t>
  </si>
  <si>
    <t xml:space="preserve">intl</t>
  </si>
  <si>
    <t xml:space="preserve">nat</t>
  </si>
  <si>
    <t xml:space="preserve">eduoffice</t>
  </si>
  <si>
    <t xml:space="preserve">mass</t>
  </si>
  <si>
    <t xml:space="preserve">gov = Ministry of Youth &amp; Sports (POPDA/Porprov/Porkot), Ministry of Education (OSN/O2SN/FLS3N/FTBI/Pentas PAI), Ministry of Religious Affairs (AKSIOMI/OMI/PORSADIN).</t>
  </si>
  <si>
    <t xml:space="preserve">other = non-ministry organizers (federations, clubs, private). eduoffice = Bandung City Education Office. mass = mass participation / non-main event.</t>
  </si>
  <si>
    <t xml:space="preserve">999 = direct admission (government national/international champions). Source: SPMB Bandung City 2026 Guide, pp. 46–48.</t>
  </si>
  <si>
    <t xml:space="preserve">Senior high</t>
  </si>
  <si>
    <t xml:space="preserve">Total quota</t>
  </si>
  <si>
    <t xml:space="preserve">Domicile quota</t>
  </si>
  <si>
    <t xml:space="preserve">Farthest domicile distance (m)</t>
  </si>
  <si>
    <t xml:space="preserve">SMAN 1</t>
  </si>
  <si>
    <t xml:space="preserve">SMAN 2</t>
  </si>
  <si>
    <t xml:space="preserve">SMAN 4</t>
  </si>
  <si>
    <t xml:space="preserve">SMAN 6</t>
  </si>
  <si>
    <t xml:space="preserve">SMAN 7</t>
  </si>
  <si>
    <t xml:space="preserve">SMAN 8</t>
  </si>
  <si>
    <t xml:space="preserve">SMAN 9</t>
  </si>
  <si>
    <t xml:space="preserve">SMAN 10</t>
  </si>
  <si>
    <t xml:space="preserve">SMAN 11</t>
  </si>
  <si>
    <t xml:space="preserve">SMAN 12</t>
  </si>
  <si>
    <t xml:space="preserve">SMAN 13</t>
  </si>
  <si>
    <t xml:space="preserve">SMAN 14</t>
  </si>
  <si>
    <t xml:space="preserve">SMAN 15</t>
  </si>
  <si>
    <t xml:space="preserve">SMAN 16</t>
  </si>
  <si>
    <t xml:space="preserve">SMAN 17</t>
  </si>
  <si>
    <t xml:space="preserve">SMAN 18</t>
  </si>
  <si>
    <t xml:space="preserve">SMAN 19</t>
  </si>
  <si>
    <t xml:space="preserve">SMAN 20</t>
  </si>
  <si>
    <t xml:space="preserve">SMAN 21</t>
  </si>
  <si>
    <t xml:space="preserve">SMAN 22</t>
  </si>
  <si>
    <t xml:space="preserve">SMAN 23</t>
  </si>
  <si>
    <t xml:space="preserve">SMAN 24</t>
  </si>
  <si>
    <t xml:space="preserve">SMAN 25</t>
  </si>
  <si>
    <t xml:space="preserve">SMAN 26</t>
  </si>
  <si>
    <t xml:space="preserve">SMAN 27</t>
  </si>
  <si>
    <t xml:space="preserve">SMAN 28</t>
  </si>
  <si>
    <t xml:space="preserve">SMAN 29</t>
  </si>
  <si>
    <t xml:space="preserve">Source: final 2026 standings, SPMB West Java (spmb.jabarprov.go.id). Senior high report score = 50% junior high report average (5 semesters) + 50% junior high TKA (provincial scale).</t>
  </si>
  <si>
    <t xml:space="preserve">Senior high domicile uses the family-card address, not the junior high location. Applicants' junior high is not published, so junior→senior high flows cannot be computed. SMAN 3 and 5 were not in the 2026 public list.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</si>
</sst>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"/>
    <numFmt numFmtId="166" formatCode="0.00"/>
    <numFmt numFmtId="167" formatCode="0.000"/>
    <numFmt numFmtId="168" formatCode="0%"/>
    <numFmt numFmtId="169" formatCode="0.000000"/>
    <numFmt numFmtId="170" formatCode="#,##0"/>
    <numFmt numFmtId="171" formatCode="0.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3"/>
      <name val="Arial"/>
      <family val="0"/>
      <charset val="1"/>
    </font>
    <font>
      <sz val="11"/>
      <color rgb="FF008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A7A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E2"/>
      </left>
      <right style="thin">
        <color rgb="FFD0D5E2"/>
      </right>
      <top style="thin">
        <color rgb="FFD0D5E2"/>
      </top>
      <bottom style="thin">
        <color rgb="FFD0D5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A7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08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0D5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3A7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4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5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</row>
    <row r="5" customFormat="false" ht="26.85" hidden="false" customHeight="false" outlineLevel="0" collapsed="false">
      <c r="A5" s="4" t="s">
        <v>5</v>
      </c>
      <c r="B5" s="4" t="s">
        <v>6</v>
      </c>
      <c r="C5" s="4" t="s">
        <v>7</v>
      </c>
    </row>
    <row r="6" customFormat="false" ht="15" hidden="false" customHeight="false" outlineLevel="0" collapsed="false">
      <c r="A6" s="4" t="s">
        <v>8</v>
      </c>
      <c r="B6" s="4" t="s">
        <v>9</v>
      </c>
      <c r="C6" s="4" t="s">
        <v>10</v>
      </c>
    </row>
    <row r="7" customFormat="false" ht="26.85" hidden="false" customHeight="false" outlineLevel="0" collapsed="false">
      <c r="A7" s="4" t="s">
        <v>11</v>
      </c>
      <c r="B7" s="4" t="s">
        <v>12</v>
      </c>
      <c r="C7" s="4" t="s">
        <v>13</v>
      </c>
    </row>
    <row r="8" customFormat="false" ht="26.85" hidden="false" customHeight="false" outlineLevel="0" collapsed="false">
      <c r="A8" s="4" t="s">
        <v>14</v>
      </c>
      <c r="B8" s="4" t="s">
        <v>15</v>
      </c>
      <c r="C8" s="4" t="s">
        <v>16</v>
      </c>
    </row>
    <row r="9" customFormat="false" ht="26.85" hidden="false" customHeight="false" outlineLevel="0" collapsed="false">
      <c r="A9" s="4" t="s">
        <v>17</v>
      </c>
      <c r="B9" s="4" t="s">
        <v>18</v>
      </c>
      <c r="C9" s="4" t="s">
        <v>19</v>
      </c>
    </row>
    <row r="10" customFormat="false" ht="26.85" hidden="false" customHeight="false" outlineLevel="0" collapsed="false">
      <c r="A10" s="4" t="s">
        <v>20</v>
      </c>
      <c r="B10" s="4" t="s">
        <v>21</v>
      </c>
      <c r="C10" s="4" t="s">
        <v>22</v>
      </c>
    </row>
    <row r="11" customFormat="false" ht="26.85" hidden="false" customHeight="false" outlineLevel="0" collapsed="false">
      <c r="A11" s="4" t="s">
        <v>23</v>
      </c>
      <c r="B11" s="4" t="s">
        <v>24</v>
      </c>
      <c r="C11" s="4" t="s">
        <v>25</v>
      </c>
    </row>
    <row r="12" customFormat="false" ht="15" hidden="false" customHeight="false" outlineLevel="0" collapsed="false">
      <c r="A12" s="4" t="s">
        <v>26</v>
      </c>
      <c r="B12" s="4" t="s">
        <v>27</v>
      </c>
      <c r="C12" s="4" t="s">
        <v>28</v>
      </c>
    </row>
    <row r="13" customFormat="false" ht="15" hidden="false" customHeight="false" outlineLevel="0" collapsed="false">
      <c r="A13" s="4" t="s">
        <v>29</v>
      </c>
      <c r="B13" s="4" t="s">
        <v>30</v>
      </c>
      <c r="C13" s="4" t="s">
        <v>31</v>
      </c>
    </row>
    <row r="15" customFormat="false" ht="15" hidden="false" customHeight="false" outlineLevel="0" collapsed="false">
      <c r="A15" s="5" t="s">
        <v>32</v>
      </c>
    </row>
    <row r="16" customFormat="false" ht="15" hidden="false" customHeight="false" outlineLevel="0" collapsed="false">
      <c r="A16" s="6" t="s">
        <v>33</v>
      </c>
      <c r="B16" s="7" t="n">
        <v>7</v>
      </c>
      <c r="C16" s="6" t="s">
        <v>34</v>
      </c>
    </row>
    <row r="17" customFormat="false" ht="15" hidden="false" customHeight="false" outlineLevel="0" collapsed="false">
      <c r="A17" s="6" t="s">
        <v>35</v>
      </c>
      <c r="B17" s="7" t="n">
        <v>1.8</v>
      </c>
      <c r="C17" s="6" t="s">
        <v>36</v>
      </c>
    </row>
    <row r="18" customFormat="false" ht="15" hidden="false" customHeight="false" outlineLevel="0" collapsed="false">
      <c r="A18" s="6" t="s">
        <v>37</v>
      </c>
      <c r="B18" s="7" t="n">
        <v>3</v>
      </c>
      <c r="C18" s="6"/>
    </row>
    <row r="19" customFormat="false" ht="15" hidden="false" customHeight="false" outlineLevel="0" collapsed="false">
      <c r="A19" s="6" t="s">
        <v>38</v>
      </c>
      <c r="B19" s="7" t="n">
        <v>0.3</v>
      </c>
      <c r="C19" s="6" t="s">
        <v>39</v>
      </c>
    </row>
    <row r="20" customFormat="false" ht="15" hidden="false" customHeight="false" outlineLevel="0" collapsed="false">
      <c r="A20" s="6" t="s">
        <v>40</v>
      </c>
      <c r="B20" s="7" t="n">
        <v>5</v>
      </c>
      <c r="C20" s="6"/>
    </row>
    <row r="21" customFormat="false" ht="15" hidden="false" customHeight="false" outlineLevel="0" collapsed="false">
      <c r="A21" s="6" t="s">
        <v>41</v>
      </c>
      <c r="B21" s="7" t="n">
        <v>0.97</v>
      </c>
      <c r="C21" s="6" t="s">
        <v>42</v>
      </c>
    </row>
    <row r="22" customFormat="false" ht="15" hidden="false" customHeight="false" outlineLevel="0" collapsed="false">
      <c r="A22" s="6" t="s">
        <v>43</v>
      </c>
      <c r="B22" s="7" t="n">
        <v>0.3</v>
      </c>
      <c r="C22" s="6"/>
    </row>
    <row r="23" customFormat="false" ht="15" hidden="false" customHeight="false" outlineLevel="0" collapsed="false">
      <c r="A23" s="6" t="s">
        <v>44</v>
      </c>
      <c r="B23" s="7" t="n">
        <v>0.05</v>
      </c>
      <c r="C23" s="6"/>
    </row>
    <row r="24" customFormat="false" ht="15" hidden="false" customHeight="false" outlineLevel="0" collapsed="false">
      <c r="A24" s="6" t="s">
        <v>45</v>
      </c>
      <c r="B24" s="7" t="n">
        <v>0.15</v>
      </c>
      <c r="C24" s="6"/>
    </row>
    <row r="25" customFormat="false" ht="15" hidden="false" customHeight="false" outlineLevel="0" collapsed="false">
      <c r="A25" s="6" t="s">
        <v>46</v>
      </c>
      <c r="B25" s="7" t="n">
        <v>0.25</v>
      </c>
      <c r="C25" s="6"/>
    </row>
    <row r="26" customFormat="false" ht="15" hidden="false" customHeight="false" outlineLevel="0" collapsed="false">
      <c r="A26" s="6" t="s">
        <v>47</v>
      </c>
      <c r="B26" s="7" t="n">
        <v>0.55</v>
      </c>
      <c r="C26" s="6"/>
    </row>
    <row r="27" customFormat="false" ht="15" hidden="false" customHeight="false" outlineLevel="0" collapsed="false">
      <c r="A27" s="6" t="s">
        <v>48</v>
      </c>
      <c r="B27" s="7" t="n">
        <v>0.35</v>
      </c>
      <c r="C27" s="6"/>
    </row>
    <row r="28" customFormat="false" ht="15" hidden="false" customHeight="false" outlineLevel="0" collapsed="false">
      <c r="A28" s="6" t="s">
        <v>49</v>
      </c>
      <c r="B28" s="7" t="n">
        <v>-6.9135</v>
      </c>
      <c r="C28" s="6" t="s">
        <v>31</v>
      </c>
    </row>
    <row r="29" customFormat="false" ht="15" hidden="false" customHeight="false" outlineLevel="0" collapsed="false">
      <c r="A29" s="6" t="s">
        <v>50</v>
      </c>
      <c r="B29" s="7" t="n">
        <v>107.7005</v>
      </c>
      <c r="C29" s="6" t="s">
        <v>31</v>
      </c>
    </row>
    <row r="31" customFormat="false" ht="15" hidden="false" customHeight="false" outlineLevel="0" collapsed="false">
      <c r="A31" s="5" t="s">
        <v>51</v>
      </c>
    </row>
    <row r="32" customFormat="false" ht="43.5" hidden="false" customHeight="true" outlineLevel="0" collapsed="false">
      <c r="A32" s="2" t="s">
        <v>52</v>
      </c>
      <c r="B32" s="8" t="s">
        <v>53</v>
      </c>
      <c r="C32" s="8"/>
    </row>
    <row r="33" customFormat="false" ht="43.5" hidden="false" customHeight="true" outlineLevel="0" collapsed="false">
      <c r="A33" s="2" t="s">
        <v>52</v>
      </c>
      <c r="B33" s="8" t="s">
        <v>54</v>
      </c>
      <c r="C33" s="8"/>
    </row>
    <row r="34" customFormat="false" ht="43.5" hidden="false" customHeight="true" outlineLevel="0" collapsed="false">
      <c r="A34" s="2" t="s">
        <v>52</v>
      </c>
      <c r="B34" s="8" t="s">
        <v>55</v>
      </c>
      <c r="C34" s="8"/>
    </row>
    <row r="35" customFormat="false" ht="43.5" hidden="false" customHeight="true" outlineLevel="0" collapsed="false">
      <c r="A35" s="2" t="s">
        <v>52</v>
      </c>
      <c r="B35" s="8" t="s">
        <v>56</v>
      </c>
      <c r="C35" s="8"/>
    </row>
    <row r="36" customFormat="false" ht="43.5" hidden="false" customHeight="true" outlineLevel="0" collapsed="false">
      <c r="A36" s="2" t="s">
        <v>52</v>
      </c>
      <c r="B36" s="8" t="s">
        <v>57</v>
      </c>
      <c r="C36" s="8"/>
    </row>
    <row r="37" customFormat="false" ht="43.5" hidden="false" customHeight="true" outlineLevel="0" collapsed="false">
      <c r="A37" s="2" t="s">
        <v>52</v>
      </c>
      <c r="B37" s="8" t="s">
        <v>58</v>
      </c>
      <c r="C37" s="8"/>
    </row>
    <row r="38" customFormat="false" ht="43.5" hidden="false" customHeight="true" outlineLevel="0" collapsed="false">
      <c r="A38" s="2" t="s">
        <v>52</v>
      </c>
      <c r="B38" s="8" t="s">
        <v>59</v>
      </c>
      <c r="C38" s="8"/>
    </row>
    <row r="39" customFormat="false" ht="43.5" hidden="false" customHeight="true" outlineLevel="0" collapsed="false">
      <c r="A39" s="2" t="s">
        <v>52</v>
      </c>
      <c r="B39" s="8" t="s">
        <v>60</v>
      </c>
      <c r="C39" s="8"/>
    </row>
    <row r="40" customFormat="false" ht="43.5" hidden="false" customHeight="true" outlineLevel="0" collapsed="false">
      <c r="A40" s="2" t="s">
        <v>52</v>
      </c>
      <c r="B40" s="8" t="s">
        <v>61</v>
      </c>
      <c r="C40" s="8"/>
    </row>
    <row r="41" customFormat="false" ht="43.5" hidden="false" customHeight="true" outlineLevel="0" collapsed="false">
      <c r="A41" s="2" t="s">
        <v>52</v>
      </c>
      <c r="B41" s="8" t="s">
        <v>62</v>
      </c>
      <c r="C41" s="8"/>
    </row>
  </sheetData>
  <mergeCells count="10"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8" min="2" style="0" width="11"/>
    <col collapsed="false" customWidth="true" hidden="false" outlineLevel="0" max="9" min="9" style="0" width="4"/>
  </cols>
  <sheetData>
    <row r="1" customFormat="false" ht="17.35" hidden="false" customHeight="false" outlineLevel="0" collapsed="false">
      <c r="A1" s="1" t="s">
        <v>63</v>
      </c>
    </row>
    <row r="2" customFormat="false" ht="15" hidden="false" customHeight="false" outlineLevel="0" collapsed="false">
      <c r="A2" s="2" t="s">
        <v>64</v>
      </c>
    </row>
    <row r="4" customFormat="false" ht="16.15" hidden="false" customHeight="false" outlineLevel="0" collapsed="false">
      <c r="A4" s="9" t="s">
        <v>65</v>
      </c>
    </row>
    <row r="5" customFormat="false" ht="31.5" hidden="false" customHeight="true" outlineLevel="0" collapsed="false">
      <c r="A5" s="3" t="s">
        <v>66</v>
      </c>
      <c r="B5" s="3" t="s">
        <v>67</v>
      </c>
      <c r="C5" s="3" t="s">
        <v>68</v>
      </c>
      <c r="D5" s="3" t="s">
        <v>69</v>
      </c>
      <c r="E5" s="3" t="s">
        <v>70</v>
      </c>
      <c r="F5" s="3" t="s">
        <v>71</v>
      </c>
      <c r="G5" s="3" t="s">
        <v>72</v>
      </c>
    </row>
    <row r="6" customFormat="false" ht="15" hidden="false" customHeight="false" outlineLevel="0" collapsed="false">
      <c r="A6" s="6" t="s">
        <v>73</v>
      </c>
      <c r="B6" s="10" t="n">
        <v>88</v>
      </c>
      <c r="C6" s="10" t="n">
        <v>90</v>
      </c>
      <c r="D6" s="10" t="n">
        <v>91</v>
      </c>
      <c r="E6" s="10" t="n">
        <v>92</v>
      </c>
      <c r="F6" s="10"/>
      <c r="G6" s="11" t="n">
        <f aca="false">IFERROR(AVERAGE(B6:F6),"")</f>
        <v>90.25</v>
      </c>
    </row>
    <row r="7" customFormat="false" ht="15" hidden="false" customHeight="false" outlineLevel="0" collapsed="false">
      <c r="A7" s="6" t="s">
        <v>74</v>
      </c>
      <c r="B7" s="10" t="n">
        <v>86</v>
      </c>
      <c r="C7" s="10" t="n">
        <v>88</v>
      </c>
      <c r="D7" s="10" t="n">
        <v>90</v>
      </c>
      <c r="E7" s="10" t="n">
        <v>91</v>
      </c>
      <c r="F7" s="10"/>
      <c r="G7" s="11" t="n">
        <f aca="false">IFERROR(AVERAGE(B7:F7),"")</f>
        <v>88.75</v>
      </c>
    </row>
    <row r="8" customFormat="false" ht="15" hidden="false" customHeight="false" outlineLevel="0" collapsed="false">
      <c r="A8" s="6" t="s">
        <v>75</v>
      </c>
      <c r="B8" s="10" t="n">
        <v>87</v>
      </c>
      <c r="C8" s="10" t="n">
        <v>89</v>
      </c>
      <c r="D8" s="10" t="n">
        <v>88</v>
      </c>
      <c r="E8" s="10" t="n">
        <v>90</v>
      </c>
      <c r="F8" s="10"/>
      <c r="G8" s="11" t="n">
        <f aca="false">IFERROR(AVERAGE(B8:F8),"")</f>
        <v>88.5</v>
      </c>
    </row>
    <row r="9" customFormat="false" ht="15" hidden="false" customHeight="false" outlineLevel="0" collapsed="false">
      <c r="A9" s="6" t="s">
        <v>76</v>
      </c>
      <c r="B9" s="10" t="n">
        <v>85</v>
      </c>
      <c r="C9" s="10" t="n">
        <v>88</v>
      </c>
      <c r="D9" s="10" t="n">
        <v>90</v>
      </c>
      <c r="E9" s="10" t="n">
        <v>92</v>
      </c>
      <c r="F9" s="10"/>
      <c r="G9" s="11" t="n">
        <f aca="false">IFERROR(AVERAGE(B9:F9),"")</f>
        <v>88.75</v>
      </c>
    </row>
    <row r="10" customFormat="false" ht="15" hidden="false" customHeight="false" outlineLevel="0" collapsed="false">
      <c r="A10" s="6" t="s">
        <v>77</v>
      </c>
      <c r="B10" s="10" t="n">
        <v>86</v>
      </c>
      <c r="C10" s="10" t="n">
        <v>87</v>
      </c>
      <c r="D10" s="10" t="n">
        <v>90</v>
      </c>
      <c r="E10" s="10" t="n">
        <v>89</v>
      </c>
      <c r="F10" s="10"/>
      <c r="G10" s="11" t="n">
        <f aca="false">IFERROR(AVERAGE(B10:F10),"")</f>
        <v>88</v>
      </c>
    </row>
    <row r="11" customFormat="false" ht="15" hidden="false" customHeight="false" outlineLevel="0" collapsed="false">
      <c r="A11" s="6" t="s">
        <v>78</v>
      </c>
      <c r="B11" s="10" t="n">
        <v>88</v>
      </c>
      <c r="C11" s="10" t="n">
        <v>89</v>
      </c>
      <c r="D11" s="10" t="n">
        <v>90</v>
      </c>
      <c r="E11" s="10" t="n">
        <v>90</v>
      </c>
      <c r="F11" s="10"/>
      <c r="G11" s="11" t="n">
        <f aca="false">IFERROR(AVERAGE(B11:F11),"")</f>
        <v>89.25</v>
      </c>
    </row>
    <row r="12" customFormat="false" ht="15" hidden="false" customHeight="false" outlineLevel="0" collapsed="false">
      <c r="A12" s="6" t="s">
        <v>79</v>
      </c>
      <c r="B12" s="10" t="n">
        <v>87</v>
      </c>
      <c r="C12" s="10" t="n">
        <v>88</v>
      </c>
      <c r="D12" s="10" t="n">
        <v>89</v>
      </c>
      <c r="E12" s="10" t="n">
        <v>90</v>
      </c>
      <c r="F12" s="10"/>
      <c r="G12" s="11" t="n">
        <f aca="false">IFERROR(AVERAGE(B12:F12),"")</f>
        <v>88.5</v>
      </c>
    </row>
    <row r="13" customFormat="false" ht="15" hidden="false" customHeight="false" outlineLevel="0" collapsed="false">
      <c r="A13" s="6" t="s">
        <v>80</v>
      </c>
      <c r="B13" s="10" t="n">
        <v>89</v>
      </c>
      <c r="C13" s="10" t="n">
        <v>90</v>
      </c>
      <c r="D13" s="10" t="n">
        <v>91</v>
      </c>
      <c r="E13" s="10" t="n">
        <v>93</v>
      </c>
      <c r="F13" s="10"/>
      <c r="G13" s="11" t="n">
        <f aca="false">IFERROR(AVERAGE(B13:F13),"")</f>
        <v>90.75</v>
      </c>
    </row>
    <row r="14" customFormat="false" ht="15" hidden="false" customHeight="false" outlineLevel="0" collapsed="false">
      <c r="A14" s="12" t="s">
        <v>81</v>
      </c>
      <c r="B14" s="13" t="n">
        <f aca="false">IFERROR(AVERAGE(B6:B13),"–")</f>
        <v>87</v>
      </c>
      <c r="C14" s="13" t="n">
        <f aca="false">IFERROR(AVERAGE(C6:C13),"–")</f>
        <v>88.625</v>
      </c>
      <c r="D14" s="13" t="n">
        <f aca="false">IFERROR(AVERAGE(D6:D13),"–")</f>
        <v>89.875</v>
      </c>
      <c r="E14" s="13" t="n">
        <f aca="false">IFERROR(AVERAGE(E6:E13),"–")</f>
        <v>90.875</v>
      </c>
      <c r="F14" s="13" t="str">
        <f aca="false">IFERROR(AVERAGE(F6:F13),"–")</f>
        <v>–</v>
      </c>
    </row>
    <row r="16" customFormat="false" ht="15" hidden="false" customHeight="false" outlineLevel="0" collapsed="false">
      <c r="A16" s="6" t="s">
        <v>82</v>
      </c>
      <c r="B16" s="11" t="n">
        <f aca="false">AVERAGE(B6:F13)</f>
        <v>89.09375</v>
      </c>
      <c r="C16" s="14" t="s">
        <v>83</v>
      </c>
    </row>
    <row r="17" customFormat="false" ht="15" hidden="false" customHeight="false" outlineLevel="0" collapsed="false">
      <c r="A17" s="6" t="s">
        <v>84</v>
      </c>
      <c r="B17" s="10" t="n">
        <v>2</v>
      </c>
    </row>
    <row r="18" customFormat="false" ht="15" hidden="false" customHeight="false" outlineLevel="0" collapsed="false">
      <c r="A18" s="6" t="s">
        <v>85</v>
      </c>
      <c r="B18" s="15" t="n">
        <v>82</v>
      </c>
      <c r="C18" s="14" t="s">
        <v>86</v>
      </c>
    </row>
    <row r="19" customFormat="false" ht="15" hidden="false" customHeight="false" outlineLevel="0" collapsed="false">
      <c r="A19" s="6" t="s">
        <v>87</v>
      </c>
      <c r="B19" s="15" t="n">
        <v>78</v>
      </c>
      <c r="C19" s="14" t="s">
        <v>86</v>
      </c>
    </row>
    <row r="20" customFormat="false" ht="15" hidden="false" customHeight="false" outlineLevel="0" collapsed="false">
      <c r="A20" s="6" t="s">
        <v>88</v>
      </c>
      <c r="B20" s="11" t="n">
        <f aca="false">AVERAGE($B$18,$B$19)</f>
        <v>80</v>
      </c>
    </row>
    <row r="21" customFormat="false" ht="15" hidden="false" customHeight="false" outlineLevel="0" collapsed="false">
      <c r="A21" s="6" t="s">
        <v>89</v>
      </c>
      <c r="B21" s="16" t="n">
        <f aca="false">IF($B$17&lt;=3,60-(60/28)*($B$17-1),0)</f>
        <v>57.8571428571429</v>
      </c>
    </row>
    <row r="22" customFormat="false" ht="15" hidden="false" customHeight="false" outlineLevel="0" collapsed="false">
      <c r="A22" s="6" t="s">
        <v>90</v>
      </c>
      <c r="B22" s="11" t="n">
        <f aca="false">0.7*(0.4*$B$16+$B$21)+0.3*$B$20</f>
        <v>89.44625</v>
      </c>
      <c r="C22" s="14" t="s">
        <v>20</v>
      </c>
    </row>
    <row r="23" customFormat="false" ht="15" hidden="false" customHeight="false" outlineLevel="0" collapsed="false">
      <c r="A23" s="6" t="s">
        <v>91</v>
      </c>
      <c r="B23" s="7" t="s">
        <v>92</v>
      </c>
      <c r="C23" s="7" t="s">
        <v>93</v>
      </c>
      <c r="D23" s="10" t="n">
        <v>1</v>
      </c>
      <c r="E23" s="10" t="n">
        <v>1</v>
      </c>
      <c r="F23" s="17" t="n">
        <f aca="false">IF(B23="none",0,IFERROR(INDEX('Competition Scores'!$F:$F,MATCH(B23&amp;"|"&amp;C23&amp;"|"&amp;D23&amp;"|"&amp;E23,'Competition Scores'!$E:$E,0)),0))</f>
        <v>0</v>
      </c>
      <c r="G23" s="6" t="s">
        <v>94</v>
      </c>
    </row>
    <row r="24" customFormat="false" ht="15" hidden="false" customHeight="false" outlineLevel="0" collapsed="false">
      <c r="A24" s="6" t="s">
        <v>95</v>
      </c>
      <c r="B24" s="7" t="s">
        <v>92</v>
      </c>
      <c r="C24" s="7" t="s">
        <v>93</v>
      </c>
      <c r="D24" s="10" t="n">
        <v>1</v>
      </c>
      <c r="E24" s="10" t="n">
        <v>1</v>
      </c>
      <c r="F24" s="17" t="n">
        <f aca="false">IF(B24="none",0,IFERROR(INDEX('Competition Scores'!$F:$F,MATCH(B24&amp;"|"&amp;C24&amp;"|"&amp;D24&amp;"|"&amp;E24,'Competition Scores'!$E:$E,0)),0))</f>
        <v>0</v>
      </c>
      <c r="G24" s="6" t="s">
        <v>94</v>
      </c>
    </row>
    <row r="25" customFormat="false" ht="15" hidden="false" customHeight="false" outlineLevel="0" collapsed="false">
      <c r="A25" s="6" t="s">
        <v>96</v>
      </c>
      <c r="B25" s="17" t="n">
        <f aca="false">MAX(F23,F24)</f>
        <v>0</v>
      </c>
      <c r="C25" s="14" t="s">
        <v>97</v>
      </c>
    </row>
    <row r="26" customFormat="false" ht="15" hidden="false" customHeight="false" outlineLevel="0" collapsed="false">
      <c r="A26" s="6" t="s">
        <v>98</v>
      </c>
      <c r="B26" s="7" t="s">
        <v>99</v>
      </c>
      <c r="C26" s="14" t="s">
        <v>100</v>
      </c>
    </row>
    <row r="27" customFormat="false" ht="15" hidden="false" customHeight="false" outlineLevel="0" collapsed="false">
      <c r="A27" s="6" t="s">
        <v>101</v>
      </c>
      <c r="B27" s="7" t="s">
        <v>102</v>
      </c>
    </row>
    <row r="28" customFormat="false" ht="15" hidden="false" customHeight="false" outlineLevel="0" collapsed="false">
      <c r="A28" s="6" t="s">
        <v>103</v>
      </c>
      <c r="B28" s="7" t="s">
        <v>104</v>
      </c>
    </row>
    <row r="29" customFormat="false" ht="15" hidden="false" customHeight="false" outlineLevel="0" collapsed="false">
      <c r="A29" s="6" t="s">
        <v>105</v>
      </c>
      <c r="B29" s="18" t="n">
        <f aca="false">IFERROR(IF($B$26="comp",INDEX('Schools 2026'!$S:$S,MATCH($B$27,'Schools 2026'!$A:$A,0)),INDEX('Schools 2026'!$Q:$Q,MATCH($B$27,'Schools 2026'!$A:$A,0))),0)</f>
        <v>0.439117465263713</v>
      </c>
    </row>
    <row r="30" customFormat="false" ht="15" hidden="false" customHeight="false" outlineLevel="0" collapsed="false">
      <c r="A30" s="6" t="s">
        <v>106</v>
      </c>
      <c r="B30" s="18" t="n">
        <f aca="false">IF($B$28=$B$27,0,IFERROR(IF($B$26="comp",INDEX('Schools 2026'!$S:$S,MATCH($B$28,'Schools 2026'!$A:$A,0)),INDEX('Schools 2026'!$Q:$Q,MATCH($B$28,'Schools 2026'!$A:$A,0))),0))</f>
        <v>0.839710884654118</v>
      </c>
    </row>
    <row r="31" customFormat="false" ht="15" hidden="false" customHeight="false" outlineLevel="0" collapsed="false">
      <c r="A31" s="6" t="s">
        <v>107</v>
      </c>
      <c r="B31" s="18" t="n">
        <f aca="false">1-(1-$B$29)*(1-$B$30)</f>
        <v>0.910096634694165</v>
      </c>
    </row>
    <row r="33" customFormat="false" ht="16.15" hidden="false" customHeight="false" outlineLevel="0" collapsed="false">
      <c r="A33" s="9" t="s">
        <v>108</v>
      </c>
    </row>
    <row r="34" customFormat="false" ht="31.5" hidden="false" customHeight="true" outlineLevel="0" collapsed="false">
      <c r="A34" s="3" t="s">
        <v>66</v>
      </c>
      <c r="B34" s="3" t="s">
        <v>67</v>
      </c>
      <c r="C34" s="3" t="s">
        <v>68</v>
      </c>
      <c r="D34" s="3" t="s">
        <v>69</v>
      </c>
      <c r="E34" s="3" t="s">
        <v>70</v>
      </c>
      <c r="F34" s="3" t="s">
        <v>71</v>
      </c>
      <c r="G34" s="3" t="s">
        <v>72</v>
      </c>
    </row>
    <row r="35" customFormat="false" ht="15" hidden="false" customHeight="false" outlineLevel="0" collapsed="false">
      <c r="A35" s="6" t="s">
        <v>73</v>
      </c>
      <c r="B35" s="10" t="n">
        <v>84</v>
      </c>
      <c r="C35" s="10" t="n">
        <v>86</v>
      </c>
      <c r="D35" s="10" t="n">
        <v>87</v>
      </c>
      <c r="E35" s="10" t="n">
        <v>88</v>
      </c>
      <c r="F35" s="10"/>
      <c r="G35" s="11" t="n">
        <f aca="false">IFERROR(AVERAGE(B35:F35),"")</f>
        <v>86.25</v>
      </c>
    </row>
    <row r="36" customFormat="false" ht="15" hidden="false" customHeight="false" outlineLevel="0" collapsed="false">
      <c r="A36" s="6" t="s">
        <v>74</v>
      </c>
      <c r="B36" s="10" t="n">
        <v>83</v>
      </c>
      <c r="C36" s="10" t="n">
        <v>85</v>
      </c>
      <c r="D36" s="10" t="n">
        <v>86</v>
      </c>
      <c r="E36" s="10" t="n">
        <v>87</v>
      </c>
      <c r="F36" s="10"/>
      <c r="G36" s="11" t="n">
        <f aca="false">IFERROR(AVERAGE(B36:F36),"")</f>
        <v>85.25</v>
      </c>
    </row>
    <row r="37" customFormat="false" ht="15" hidden="false" customHeight="false" outlineLevel="0" collapsed="false">
      <c r="A37" s="6" t="s">
        <v>75</v>
      </c>
      <c r="B37" s="10" t="n">
        <v>82</v>
      </c>
      <c r="C37" s="10" t="n">
        <v>84</v>
      </c>
      <c r="D37" s="10" t="n">
        <v>85</v>
      </c>
      <c r="E37" s="10" t="n">
        <v>86</v>
      </c>
      <c r="F37" s="10"/>
      <c r="G37" s="11" t="n">
        <f aca="false">IFERROR(AVERAGE(B37:F37),"")</f>
        <v>84.25</v>
      </c>
    </row>
    <row r="38" customFormat="false" ht="15" hidden="false" customHeight="false" outlineLevel="0" collapsed="false">
      <c r="A38" s="6" t="s">
        <v>76</v>
      </c>
      <c r="B38" s="10" t="n">
        <v>80</v>
      </c>
      <c r="C38" s="10" t="n">
        <v>83</v>
      </c>
      <c r="D38" s="10" t="n">
        <v>84</v>
      </c>
      <c r="E38" s="10" t="n">
        <v>86</v>
      </c>
      <c r="F38" s="10"/>
      <c r="G38" s="11" t="n">
        <f aca="false">IFERROR(AVERAGE(B38:F38),"")</f>
        <v>83.25</v>
      </c>
    </row>
    <row r="39" customFormat="false" ht="15" hidden="false" customHeight="false" outlineLevel="0" collapsed="false">
      <c r="A39" s="6" t="s">
        <v>77</v>
      </c>
      <c r="B39" s="10" t="n">
        <v>83</v>
      </c>
      <c r="C39" s="10" t="n">
        <v>84</v>
      </c>
      <c r="D39" s="10" t="n">
        <v>86</v>
      </c>
      <c r="E39" s="10" t="n">
        <v>85</v>
      </c>
      <c r="F39" s="10"/>
      <c r="G39" s="11" t="n">
        <f aca="false">IFERROR(AVERAGE(B39:F39),"")</f>
        <v>84.5</v>
      </c>
    </row>
    <row r="40" customFormat="false" ht="15" hidden="false" customHeight="false" outlineLevel="0" collapsed="false">
      <c r="A40" s="6" t="s">
        <v>78</v>
      </c>
      <c r="B40" s="10" t="n">
        <v>85</v>
      </c>
      <c r="C40" s="10" t="n">
        <v>86</v>
      </c>
      <c r="D40" s="10" t="n">
        <v>87</v>
      </c>
      <c r="E40" s="10" t="n">
        <v>87</v>
      </c>
      <c r="F40" s="10"/>
      <c r="G40" s="11" t="n">
        <f aca="false">IFERROR(AVERAGE(B40:F40),"")</f>
        <v>86.25</v>
      </c>
    </row>
    <row r="41" customFormat="false" ht="15" hidden="false" customHeight="false" outlineLevel="0" collapsed="false">
      <c r="A41" s="6" t="s">
        <v>79</v>
      </c>
      <c r="B41" s="10" t="n">
        <v>90</v>
      </c>
      <c r="C41" s="10" t="n">
        <v>91</v>
      </c>
      <c r="D41" s="10" t="n">
        <v>92</v>
      </c>
      <c r="E41" s="10" t="n">
        <v>92</v>
      </c>
      <c r="F41" s="10"/>
      <c r="G41" s="11" t="n">
        <f aca="false">IFERROR(AVERAGE(B41:F41),"")</f>
        <v>91.25</v>
      </c>
    </row>
    <row r="42" customFormat="false" ht="15" hidden="false" customHeight="false" outlineLevel="0" collapsed="false">
      <c r="A42" s="6" t="s">
        <v>80</v>
      </c>
      <c r="B42" s="10" t="n">
        <v>81</v>
      </c>
      <c r="C42" s="10" t="n">
        <v>83</v>
      </c>
      <c r="D42" s="10" t="n">
        <v>85</v>
      </c>
      <c r="E42" s="10" t="n">
        <v>86</v>
      </c>
      <c r="F42" s="10"/>
      <c r="G42" s="11" t="n">
        <f aca="false">IFERROR(AVERAGE(B42:F42),"")</f>
        <v>83.75</v>
      </c>
    </row>
    <row r="43" customFormat="false" ht="15" hidden="false" customHeight="false" outlineLevel="0" collapsed="false">
      <c r="A43" s="12" t="s">
        <v>81</v>
      </c>
      <c r="B43" s="13" t="n">
        <f aca="false">IFERROR(AVERAGE(B35:B42),"–")</f>
        <v>83.5</v>
      </c>
      <c r="C43" s="13" t="n">
        <f aca="false">IFERROR(AVERAGE(C35:C42),"–")</f>
        <v>85.25</v>
      </c>
      <c r="D43" s="13" t="n">
        <f aca="false">IFERROR(AVERAGE(D35:D42),"–")</f>
        <v>86.5</v>
      </c>
      <c r="E43" s="13" t="n">
        <f aca="false">IFERROR(AVERAGE(E35:E42),"–")</f>
        <v>87.125</v>
      </c>
      <c r="F43" s="13" t="str">
        <f aca="false">IFERROR(AVERAGE(F35:F42),"–")</f>
        <v>–</v>
      </c>
    </row>
    <row r="45" customFormat="false" ht="15" hidden="false" customHeight="false" outlineLevel="0" collapsed="false">
      <c r="A45" s="6" t="s">
        <v>82</v>
      </c>
      <c r="B45" s="11" t="n">
        <f aca="false">AVERAGE(B35:F42)</f>
        <v>85.59375</v>
      </c>
      <c r="C45" s="14" t="s">
        <v>83</v>
      </c>
    </row>
    <row r="46" customFormat="false" ht="15" hidden="false" customHeight="false" outlineLevel="0" collapsed="false">
      <c r="A46" s="6" t="s">
        <v>84</v>
      </c>
      <c r="B46" s="10" t="n">
        <v>7</v>
      </c>
    </row>
    <row r="47" customFormat="false" ht="15" hidden="false" customHeight="false" outlineLevel="0" collapsed="false">
      <c r="A47" s="6" t="s">
        <v>85</v>
      </c>
      <c r="B47" s="15" t="n">
        <v>75</v>
      </c>
      <c r="C47" s="14" t="s">
        <v>86</v>
      </c>
    </row>
    <row r="48" customFormat="false" ht="15" hidden="false" customHeight="false" outlineLevel="0" collapsed="false">
      <c r="A48" s="6" t="s">
        <v>87</v>
      </c>
      <c r="B48" s="15" t="n">
        <v>72</v>
      </c>
      <c r="C48" s="14" t="s">
        <v>86</v>
      </c>
    </row>
    <row r="49" customFormat="false" ht="15" hidden="false" customHeight="false" outlineLevel="0" collapsed="false">
      <c r="A49" s="6" t="s">
        <v>88</v>
      </c>
      <c r="B49" s="11" t="n">
        <f aca="false">AVERAGE($B$47,$B$48)</f>
        <v>73.5</v>
      </c>
    </row>
    <row r="50" customFormat="false" ht="15" hidden="false" customHeight="false" outlineLevel="0" collapsed="false">
      <c r="A50" s="6" t="s">
        <v>89</v>
      </c>
      <c r="B50" s="16" t="n">
        <f aca="false">IF($B$46&lt;=3,60-(60/28)*($B$46-1),0)</f>
        <v>0</v>
      </c>
    </row>
    <row r="51" customFormat="false" ht="15" hidden="false" customHeight="false" outlineLevel="0" collapsed="false">
      <c r="A51" s="6" t="s">
        <v>90</v>
      </c>
      <c r="B51" s="11" t="n">
        <f aca="false">0.7*(0.4*$B$45+$B$50)+0.3*$B$49</f>
        <v>46.01625</v>
      </c>
      <c r="C51" s="14" t="s">
        <v>20</v>
      </c>
    </row>
    <row r="52" customFormat="false" ht="15" hidden="false" customHeight="false" outlineLevel="0" collapsed="false">
      <c r="A52" s="6" t="s">
        <v>91</v>
      </c>
      <c r="B52" s="7" t="s">
        <v>109</v>
      </c>
      <c r="C52" s="7" t="s">
        <v>110</v>
      </c>
      <c r="D52" s="10" t="n">
        <v>2</v>
      </c>
      <c r="E52" s="10" t="n">
        <v>1</v>
      </c>
      <c r="F52" s="17" t="n">
        <f aca="false">IF(B52="none",0,IFERROR(INDEX('Competition Scores'!$F:$F,MATCH(B52&amp;"|"&amp;C52&amp;"|"&amp;D52&amp;"|"&amp;E52,'Competition Scores'!$E:$E,0)),0))</f>
        <v>45</v>
      </c>
      <c r="G52" s="6" t="s">
        <v>94</v>
      </c>
    </row>
    <row r="53" customFormat="false" ht="15" hidden="false" customHeight="false" outlineLevel="0" collapsed="false">
      <c r="A53" s="6" t="s">
        <v>95</v>
      </c>
      <c r="B53" s="7" t="s">
        <v>111</v>
      </c>
      <c r="C53" s="7" t="s">
        <v>93</v>
      </c>
      <c r="D53" s="10" t="n">
        <v>1</v>
      </c>
      <c r="E53" s="10" t="n">
        <v>0</v>
      </c>
      <c r="F53" s="17" t="n">
        <f aca="false">IF(B53="none",0,IFERROR(INDEX('Competition Scores'!$F:$F,MATCH(B53&amp;"|"&amp;C53&amp;"|"&amp;D53&amp;"|"&amp;E53,'Competition Scores'!$E:$E,0)),0))</f>
        <v>20</v>
      </c>
      <c r="G53" s="6" t="s">
        <v>94</v>
      </c>
    </row>
    <row r="54" customFormat="false" ht="15" hidden="false" customHeight="false" outlineLevel="0" collapsed="false">
      <c r="A54" s="6" t="s">
        <v>96</v>
      </c>
      <c r="B54" s="17" t="n">
        <f aca="false">MAX(F52,F53)</f>
        <v>45</v>
      </c>
      <c r="C54" s="14" t="s">
        <v>97</v>
      </c>
    </row>
    <row r="55" customFormat="false" ht="15" hidden="false" customHeight="false" outlineLevel="0" collapsed="false">
      <c r="A55" s="6" t="s">
        <v>98</v>
      </c>
      <c r="B55" s="7" t="s">
        <v>112</v>
      </c>
      <c r="C55" s="14" t="s">
        <v>100</v>
      </c>
    </row>
    <row r="56" customFormat="false" ht="15" hidden="false" customHeight="false" outlineLevel="0" collapsed="false">
      <c r="A56" s="6" t="s">
        <v>101</v>
      </c>
      <c r="B56" s="7" t="s">
        <v>113</v>
      </c>
    </row>
    <row r="57" customFormat="false" ht="15" hidden="false" customHeight="false" outlineLevel="0" collapsed="false">
      <c r="A57" s="6" t="s">
        <v>103</v>
      </c>
      <c r="B57" s="7" t="s">
        <v>114</v>
      </c>
    </row>
    <row r="58" customFormat="false" ht="15" hidden="false" customHeight="false" outlineLevel="0" collapsed="false">
      <c r="A58" s="6" t="s">
        <v>105</v>
      </c>
      <c r="B58" s="18" t="n">
        <f aca="false">IFERROR(IF($B$55="comp",INDEX('Schools 2026'!$T:$T,MATCH($B$56,'Schools 2026'!$A:$A,0)),INDEX('Schools 2026'!$R:$R,MATCH($B$56,'Schools 2026'!$A:$A,0))),0)</f>
        <v>0.97</v>
      </c>
    </row>
    <row r="59" customFormat="false" ht="15" hidden="false" customHeight="false" outlineLevel="0" collapsed="false">
      <c r="A59" s="6" t="s">
        <v>106</v>
      </c>
      <c r="B59" s="18" t="n">
        <f aca="false">IF($B$57=$B$56,0,IFERROR(IF($B$55="comp",INDEX('Schools 2026'!$T:$T,MATCH($B$57,'Schools 2026'!$A:$A,0)),INDEX('Schools 2026'!$R:$R,MATCH($B$57,'Schools 2026'!$A:$A,0))),0))</f>
        <v>0.97</v>
      </c>
    </row>
    <row r="60" customFormat="false" ht="15" hidden="false" customHeight="false" outlineLevel="0" collapsed="false">
      <c r="A60" s="6" t="s">
        <v>107</v>
      </c>
      <c r="B60" s="18" t="n">
        <f aca="false">1-(1-$B$58)*(1-$B$59)</f>
        <v>0.9991</v>
      </c>
    </row>
    <row r="62" customFormat="false" ht="15" hidden="false" customHeight="false" outlineLevel="0" collapsed="false">
      <c r="A62" s="12" t="s">
        <v>115</v>
      </c>
    </row>
    <row r="63" customFormat="false" ht="15" hidden="false" customHeight="false" outlineLevel="0" collapsed="false">
      <c r="A63" s="6" t="s">
        <v>116</v>
      </c>
      <c r="B63" s="7" t="s">
        <v>113</v>
      </c>
    </row>
    <row r="64" customFormat="false" ht="15" hidden="false" customHeight="false" outlineLevel="0" collapsed="false">
      <c r="A64" s="6" t="s">
        <v>117</v>
      </c>
      <c r="B64" s="7" t="s">
        <v>118</v>
      </c>
    </row>
    <row r="65" customFormat="false" ht="15" hidden="false" customHeight="false" outlineLevel="0" collapsed="false">
      <c r="A65" s="6" t="s">
        <v>119</v>
      </c>
      <c r="B65" s="18" t="n">
        <f aca="false">IFERROR(INDEX('Zone B Domicile'!$P:$P,MATCH(B63,'Zone B Domicile'!$A:$A,0)),0)</f>
        <v>0.98811426246012</v>
      </c>
    </row>
    <row r="66" customFormat="false" ht="15" hidden="false" customHeight="false" outlineLevel="0" collapsed="false">
      <c r="A66" s="6" t="s">
        <v>120</v>
      </c>
      <c r="B66" s="18" t="n">
        <f aca="false">IF(B64=B63,0,IFERROR(INDEX('Zone B Domicile'!$P:$P,MATCH(B64,'Zone B Domicile'!$A:$A,0)),0))</f>
        <v>0.343302814601428</v>
      </c>
    </row>
    <row r="67" customFormat="false" ht="15" hidden="false" customHeight="false" outlineLevel="0" collapsed="false">
      <c r="A67" s="6" t="s">
        <v>121</v>
      </c>
      <c r="B67" s="18" t="n">
        <f aca="false">1-(1-B65)*(1-B66)</f>
        <v>0.992194669611175</v>
      </c>
    </row>
    <row r="69" customFormat="false" ht="15" hidden="false" customHeight="false" outlineLevel="0" collapsed="false">
      <c r="A69" s="12" t="s">
        <v>122</v>
      </c>
      <c r="B69" s="12" t="s">
        <v>65</v>
      </c>
      <c r="C69" s="12" t="s">
        <v>108</v>
      </c>
    </row>
    <row r="70" customFormat="false" ht="15" hidden="false" customHeight="false" outlineLevel="0" collapsed="false">
      <c r="A70" s="6" t="s">
        <v>90</v>
      </c>
      <c r="B70" s="13" t="n">
        <f aca="false">$B$22</f>
        <v>89.44625</v>
      </c>
      <c r="C70" s="13" t="n">
        <f aca="false">$B$51</f>
        <v>46.01625</v>
      </c>
    </row>
    <row r="71" customFormat="false" ht="15" hidden="false" customHeight="false" outlineLevel="0" collapsed="false">
      <c r="A71" s="6" t="s">
        <v>123</v>
      </c>
      <c r="B71" s="19" t="n">
        <f aca="false">$B$31</f>
        <v>0.910096634694165</v>
      </c>
      <c r="C71" s="19" t="n">
        <f aca="false">$B$60</f>
        <v>0.9991</v>
      </c>
    </row>
    <row r="72" customFormat="false" ht="15" hidden="false" customHeight="false" outlineLevel="0" collapsed="false">
      <c r="A72" s="6" t="s">
        <v>124</v>
      </c>
      <c r="B72" s="19" t="n">
        <f aca="false">1-(1-$B$31)*(1-B67)</f>
        <v>0.999298274530721</v>
      </c>
      <c r="C72" s="19" t="n">
        <f aca="false">1-(1-$B$60)*(1-B67)</f>
        <v>0.99999297520265</v>
      </c>
    </row>
  </sheetData>
  <dataValidations count="4">
    <dataValidation allowBlank="false" errorStyle="stop" operator="between" showDropDown="false" showErrorMessage="false" showInputMessage="false" sqref="B23:B24 B52:B53" type="list">
      <formula1>"gov,other,eduoffice,mass,none"</formula1>
      <formula2>0</formula2>
    </dataValidation>
    <dataValidation allowBlank="false" errorStyle="stop" operator="between" showDropDown="false" showErrorMessage="false" showInputMessage="false" sqref="C23:C24 C52:C53" type="list">
      <formula1>"city,prov,nat,intl"</formula1>
      <formula2>0</formula2>
    </dataValidation>
    <dataValidation allowBlank="false" errorStyle="stop" operator="between" showDropDown="false" showErrorMessage="false" showInputMessage="false" sqref="B26 B55" type="list">
      <formula1>"report,comp"</formula1>
      <formula2>0</formula2>
    </dataValidation>
    <dataValidation allowBlank="false" errorStyle="stop" operator="between" showDropDown="false" showErrorMessage="false" showInputMessage="false" sqref="B17 B46" type="whole">
      <formula1>1</formula1>
      <formula2>40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4"/>
    <col collapsed="false" customWidth="true" hidden="false" outlineLevel="0" max="3" min="3" style="0" width="8"/>
    <col collapsed="false" customWidth="true" hidden="false" outlineLevel="0" max="5" min="4" style="0" width="10"/>
    <col collapsed="false" customWidth="true" hidden="false" outlineLevel="0" max="6" min="6" style="0" width="11"/>
    <col collapsed="false" customWidth="true" hidden="false" outlineLevel="0" max="7" min="7" style="0" width="8"/>
    <col collapsed="false" customWidth="true" hidden="false" outlineLevel="0" max="13" min="8" style="0" width="9"/>
    <col collapsed="false" customWidth="true" hidden="false" outlineLevel="0" max="14" min="14" style="0" width="10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20" min="17" style="0" width="10"/>
    <col collapsed="false" customWidth="true" hidden="false" outlineLevel="0" max="21" min="21" style="0" width="9"/>
  </cols>
  <sheetData>
    <row r="1" customFormat="false" ht="31.5" hidden="false" customHeight="true" outlineLevel="0" collapsed="false">
      <c r="A1" s="3" t="s">
        <v>125</v>
      </c>
      <c r="B1" s="3" t="s">
        <v>126</v>
      </c>
      <c r="C1" s="3" t="s">
        <v>127</v>
      </c>
      <c r="D1" s="3" t="s">
        <v>128</v>
      </c>
      <c r="E1" s="3" t="s">
        <v>129</v>
      </c>
      <c r="F1" s="3" t="s">
        <v>130</v>
      </c>
      <c r="G1" s="3" t="s">
        <v>131</v>
      </c>
      <c r="H1" s="3" t="s">
        <v>132</v>
      </c>
      <c r="I1" s="3" t="s">
        <v>133</v>
      </c>
      <c r="J1" s="3" t="s">
        <v>134</v>
      </c>
      <c r="K1" s="3" t="s">
        <v>135</v>
      </c>
      <c r="L1" s="3" t="s">
        <v>136</v>
      </c>
      <c r="M1" s="3" t="s">
        <v>137</v>
      </c>
      <c r="N1" s="3" t="s">
        <v>138</v>
      </c>
      <c r="O1" s="3" t="s">
        <v>139</v>
      </c>
      <c r="P1" s="3" t="s">
        <v>140</v>
      </c>
      <c r="Q1" s="3" t="s">
        <v>141</v>
      </c>
      <c r="R1" s="3" t="s">
        <v>142</v>
      </c>
      <c r="S1" s="3" t="s">
        <v>143</v>
      </c>
      <c r="T1" s="3" t="s">
        <v>144</v>
      </c>
      <c r="U1" s="3" t="s">
        <v>145</v>
      </c>
    </row>
    <row r="2" customFormat="false" ht="15" hidden="false" customHeight="false" outlineLevel="0" collapsed="false">
      <c r="A2" s="6" t="s">
        <v>146</v>
      </c>
      <c r="B2" s="6" t="s">
        <v>147</v>
      </c>
      <c r="C2" s="6" t="s">
        <v>148</v>
      </c>
      <c r="D2" s="20" t="n">
        <v>-6.911579</v>
      </c>
      <c r="E2" s="20" t="n">
        <v>107.596578</v>
      </c>
      <c r="F2" s="21" t="n">
        <f aca="false">2*6371000*ASIN(SQRT(SIN(RADIANS(D2-'Sources &amp; Method'!$B$28)/2)^2+COS(RADIANS('Sources &amp; Method'!$B$28))*COS(RADIANS(D2))*SIN(RADIANS(E2-'Sources &amp; Method'!$B$29)/2)^2))</f>
        <v>11473.5903219909</v>
      </c>
      <c r="G2" s="22" t="n">
        <v>48</v>
      </c>
      <c r="H2" s="22" t="n">
        <v>96</v>
      </c>
      <c r="I2" s="23" t="n">
        <f aca="false">IF(G2=0,0,H2/G2)</f>
        <v>2</v>
      </c>
      <c r="J2" s="24" t="n">
        <v>91.17</v>
      </c>
      <c r="K2" s="24" t="n">
        <v>92.401</v>
      </c>
      <c r="L2" s="24" t="n">
        <v>83.33</v>
      </c>
      <c r="M2" s="22" t="n">
        <v>32</v>
      </c>
      <c r="N2" s="22" t="n">
        <v>34</v>
      </c>
      <c r="O2" s="25" t="n">
        <v>20</v>
      </c>
      <c r="P2" s="26" t="n">
        <f aca="false">'Sources &amp; Method'!$B$19</f>
        <v>0.3</v>
      </c>
      <c r="Q2" s="18" t="n">
        <f aca="false">IF(J2&gt;80,NORMSDIST((Calculator!$B$22-J2)/SQRT((0.3*'Sources &amp; Method'!$B$16)^2+'Sources &amp; Method'!$B$17^2)),(1-P2)*NORMSDIST((Calculator!$B$22-(J2+1))/SQRT((0.3*'Sources &amp; Method'!$B$16)^2+'Sources &amp; Method'!$B$18^2))+P2*NORMSDIST((Calculator!$B$22-85)/SQRT((0.3*'Sources &amp; Method'!$B$16)^2+2.5^2)))</f>
        <v>0.266568952751393</v>
      </c>
      <c r="R2" s="18" t="n">
        <f aca="false">IF(J2&gt;80,NORMSDIST((Calculator!$B$51-J2)/SQRT((0.3*'Sources &amp; Method'!$B$16)^2+'Sources &amp; Method'!$B$17^2)),(1-P2)*NORMSDIST((Calculator!$B$51-(J2+1))/SQRT((0.3*'Sources &amp; Method'!$B$16)^2+'Sources &amp; Method'!$B$18^2))+P2*NORMSDIST((Calculator!$B$51-85)/SQRT((0.3*'Sources &amp; Method'!$B$16)^2+2.5^2)))</f>
        <v>3.2570797959434E-060</v>
      </c>
      <c r="S2" s="18" t="n">
        <f aca="false">IF(OR(M2=0,O2="",Calculator!$B$25=0),0,IF(Calculator!$B$25&gt;=999,'Sources &amp; Method'!$B$21,MIN('Sources &amp; Method'!$B$21,NORMSDIST((Calculator!$B$25-O2+0.5)/'Sources &amp; Method'!$B$20))))</f>
        <v>0</v>
      </c>
      <c r="T2" s="18" t="n">
        <f aca="false">IF(OR(M2=0,O2="",Calculator!$B$54=0),0,IF(Calculator!$B$54&gt;=999,'Sources &amp; Method'!$B$21,MIN('Sources &amp; Method'!$B$21,NORMSDIST((Calculator!$B$54-O2+0.5)/'Sources &amp; Method'!$B$20))))</f>
        <v>0.97</v>
      </c>
      <c r="U2" s="17" t="n">
        <f aca="false">RANK(J2,$J$2:$J$76)</f>
        <v>7</v>
      </c>
    </row>
    <row r="3" customFormat="false" ht="15" hidden="false" customHeight="false" outlineLevel="0" collapsed="false">
      <c r="A3" s="6" t="s">
        <v>149</v>
      </c>
      <c r="B3" s="6" t="s">
        <v>150</v>
      </c>
      <c r="C3" s="6" t="s">
        <v>151</v>
      </c>
      <c r="D3" s="20" t="n">
        <v>-6.913925</v>
      </c>
      <c r="E3" s="20" t="n">
        <v>107.614121</v>
      </c>
      <c r="F3" s="21" t="n">
        <f aca="false">2*6371000*ASIN(SQRT(SIN(RADIANS(D3-'Sources &amp; Method'!$B$28)/2)^2+COS(RADIANS('Sources &amp; Method'!$B$28))*COS(RADIANS(D3))*SIN(RADIANS(E3-'Sources &amp; Method'!$B$29)/2)^2))</f>
        <v>9535.18217605391</v>
      </c>
      <c r="G3" s="22" t="n">
        <v>39</v>
      </c>
      <c r="H3" s="22" t="n">
        <v>74</v>
      </c>
      <c r="I3" s="23" t="n">
        <f aca="false">IF(G3=0,0,H3/G3)</f>
        <v>1.8974358974359</v>
      </c>
      <c r="J3" s="24" t="n">
        <v>94.363</v>
      </c>
      <c r="K3" s="24" t="n">
        <v>95.189</v>
      </c>
      <c r="L3" s="24" t="n">
        <v>88.34</v>
      </c>
      <c r="M3" s="22" t="n">
        <v>26</v>
      </c>
      <c r="N3" s="22" t="n">
        <v>45</v>
      </c>
      <c r="O3" s="25" t="n">
        <v>32</v>
      </c>
      <c r="P3" s="26" t="n">
        <f aca="false">'Sources &amp; Method'!$B$19</f>
        <v>0.3</v>
      </c>
      <c r="Q3" s="18" t="n">
        <f aca="false">IF(J3&gt;80,NORMSDIST((Calculator!$B$22-J3)/SQRT((0.3*'Sources &amp; Method'!$B$16)^2+'Sources &amp; Method'!$B$17^2)),(1-P3)*NORMSDIST((Calculator!$B$22-(J3+1))/SQRT((0.3*'Sources &amp; Method'!$B$16)^2+'Sources &amp; Method'!$B$18^2))+P3*NORMSDIST((Calculator!$B$22-85)/SQRT((0.3*'Sources &amp; Method'!$B$16)^2+2.5^2)))</f>
        <v>0.0377302908301863</v>
      </c>
      <c r="R3" s="18" t="n">
        <f aca="false">IF(J3&gt;80,NORMSDIST((Calculator!$B$51-J3)/SQRT((0.3*'Sources &amp; Method'!$B$16)^2+'Sources &amp; Method'!$B$17^2)),(1-P3)*NORMSDIST((Calculator!$B$51-(J3+1))/SQRT((0.3*'Sources &amp; Method'!$B$16)^2+'Sources &amp; Method'!$B$18^2))+P3*NORMSDIST((Calculator!$B$51-85)/SQRT((0.3*'Sources &amp; Method'!$B$16)^2+2.5^2)))</f>
        <v>1.0209923141687E-068</v>
      </c>
      <c r="S3" s="18" t="n">
        <f aca="false">IF(OR(M3=0,O3="",Calculator!$B$25=0),0,IF(Calculator!$B$25&gt;=999,'Sources &amp; Method'!$B$21,MIN('Sources &amp; Method'!$B$21,NORMSDIST((Calculator!$B$25-O3+0.5)/'Sources &amp; Method'!$B$20))))</f>
        <v>0</v>
      </c>
      <c r="T3" s="18" t="n">
        <f aca="false">IF(OR(M3=0,O3="",Calculator!$B$54=0),0,IF(Calculator!$B$54&gt;=999,'Sources &amp; Method'!$B$21,MIN('Sources &amp; Method'!$B$21,NORMSDIST((Calculator!$B$54-O3+0.5)/'Sources &amp; Method'!$B$20))))</f>
        <v>0.97</v>
      </c>
      <c r="U3" s="17" t="n">
        <f aca="false">RANK(J3,$J$2:$J$76)</f>
        <v>1</v>
      </c>
    </row>
    <row r="4" customFormat="false" ht="15" hidden="false" customHeight="false" outlineLevel="0" collapsed="false">
      <c r="A4" s="6" t="s">
        <v>152</v>
      </c>
      <c r="B4" s="6" t="s">
        <v>153</v>
      </c>
      <c r="C4" s="6" t="s">
        <v>154</v>
      </c>
      <c r="D4" s="20" t="n">
        <v>-6.929271</v>
      </c>
      <c r="E4" s="20" t="n">
        <v>107.605194</v>
      </c>
      <c r="F4" s="21" t="n">
        <f aca="false">2*6371000*ASIN(SQRT(SIN(RADIANS(D4-'Sources &amp; Method'!$B$28)/2)^2+COS(RADIANS('Sources &amp; Method'!$B$28))*COS(RADIANS(D4))*SIN(RADIANS(E4-'Sources &amp; Method'!$B$29)/2)^2))</f>
        <v>10665.4722626487</v>
      </c>
      <c r="G4" s="22" t="n">
        <v>39</v>
      </c>
      <c r="H4" s="22" t="n">
        <v>73</v>
      </c>
      <c r="I4" s="23" t="n">
        <f aca="false">IF(G4=0,0,H4/G4)</f>
        <v>1.87179487179487</v>
      </c>
      <c r="J4" s="24" t="n">
        <v>89.485</v>
      </c>
      <c r="K4" s="24" t="n">
        <v>91.466</v>
      </c>
      <c r="L4" s="24" t="n">
        <v>80</v>
      </c>
      <c r="M4" s="22" t="n">
        <v>26</v>
      </c>
      <c r="N4" s="22" t="n">
        <v>35</v>
      </c>
      <c r="O4" s="25" t="n">
        <v>14</v>
      </c>
      <c r="P4" s="26" t="n">
        <f aca="false">'Sources &amp; Method'!$B$19</f>
        <v>0.3</v>
      </c>
      <c r="Q4" s="18" t="n">
        <f aca="false">IF(J4&gt;80,NORMSDIST((Calculator!$B$22-J4)/SQRT((0.3*'Sources &amp; Method'!$B$16)^2+'Sources &amp; Method'!$B$17^2)),(1-P4)*NORMSDIST((Calculator!$B$22-(J4+1))/SQRT((0.3*'Sources &amp; Method'!$B$16)^2+'Sources &amp; Method'!$B$18^2))+P4*NORMSDIST((Calculator!$B$22-85)/SQRT((0.3*'Sources &amp; Method'!$B$16)^2+2.5^2)))</f>
        <v>0.494410964761042</v>
      </c>
      <c r="R4" s="18" t="n">
        <f aca="false">IF(J4&gt;80,NORMSDIST((Calculator!$B$51-J4)/SQRT((0.3*'Sources &amp; Method'!$B$16)^2+'Sources &amp; Method'!$B$17^2)),(1-P4)*NORMSDIST((Calculator!$B$51-(J4+1))/SQRT((0.3*'Sources &amp; Method'!$B$16)^2+'Sources &amp; Method'!$B$18^2))+P4*NORMSDIST((Calculator!$B$51-85)/SQRT((0.3*'Sources &amp; Method'!$B$16)^2+2.5^2)))</f>
        <v>5.86082532130854E-056</v>
      </c>
      <c r="S4" s="18" t="n">
        <f aca="false">IF(OR(M4=0,O4="",Calculator!$B$25=0),0,IF(Calculator!$B$25&gt;=999,'Sources &amp; Method'!$B$21,MIN('Sources &amp; Method'!$B$21,NORMSDIST((Calculator!$B$25-O4+0.5)/'Sources &amp; Method'!$B$20))))</f>
        <v>0</v>
      </c>
      <c r="T4" s="18" t="n">
        <f aca="false">IF(OR(M4=0,O4="",Calculator!$B$54=0),0,IF(Calculator!$B$54&gt;=999,'Sources &amp; Method'!$B$21,MIN('Sources &amp; Method'!$B$21,NORMSDIST((Calculator!$B$54-O4+0.5)/'Sources &amp; Method'!$B$20))))</f>
        <v>0.97</v>
      </c>
      <c r="U4" s="17" t="n">
        <f aca="false">RANK(J4,$J$2:$J$76)</f>
        <v>12</v>
      </c>
    </row>
    <row r="5" customFormat="false" ht="15" hidden="false" customHeight="false" outlineLevel="0" collapsed="false">
      <c r="A5" s="6" t="s">
        <v>155</v>
      </c>
      <c r="B5" s="6" t="s">
        <v>156</v>
      </c>
      <c r="C5" s="6" t="s">
        <v>154</v>
      </c>
      <c r="D5" s="20" t="n">
        <v>-6.921139</v>
      </c>
      <c r="E5" s="20" t="n">
        <v>107.625976</v>
      </c>
      <c r="F5" s="21" t="n">
        <f aca="false">2*6371000*ASIN(SQRT(SIN(RADIANS(D5-'Sources &amp; Method'!$B$28)/2)^2+COS(RADIANS('Sources &amp; Method'!$B$28))*COS(RADIANS(D5))*SIN(RADIANS(E5-'Sources &amp; Method'!$B$29)/2)^2))</f>
        <v>8270.10899110611</v>
      </c>
      <c r="G5" s="22" t="n">
        <v>41</v>
      </c>
      <c r="H5" s="22" t="n">
        <v>65</v>
      </c>
      <c r="I5" s="23" t="n">
        <f aca="false">IF(G5=0,0,H5/G5)</f>
        <v>1.58536585365854</v>
      </c>
      <c r="J5" s="24" t="n">
        <v>87.629</v>
      </c>
      <c r="K5" s="24" t="n">
        <v>89.74</v>
      </c>
      <c r="L5" s="24" t="n">
        <v>76.67</v>
      </c>
      <c r="M5" s="22" t="n">
        <v>28</v>
      </c>
      <c r="N5" s="22" t="n">
        <v>26</v>
      </c>
      <c r="O5" s="25" t="n">
        <v>5</v>
      </c>
      <c r="P5" s="26" t="n">
        <f aca="false">'Sources &amp; Method'!$B$19</f>
        <v>0.3</v>
      </c>
      <c r="Q5" s="18" t="n">
        <f aca="false">IF(J5&gt;80,NORMSDIST((Calculator!$B$22-J5)/SQRT((0.3*'Sources &amp; Method'!$B$16)^2+'Sources &amp; Method'!$B$17^2)),(1-P5)*NORMSDIST((Calculator!$B$22-(J5+1))/SQRT((0.3*'Sources &amp; Method'!$B$16)^2+'Sources &amp; Method'!$B$18^2))+P5*NORMSDIST((Calculator!$B$22-85)/SQRT((0.3*'Sources &amp; Method'!$B$16)^2+2.5^2)))</f>
        <v>0.744418583541194</v>
      </c>
      <c r="R5" s="18" t="n">
        <f aca="false">IF(J5&gt;80,NORMSDIST((Calculator!$B$51-J5)/SQRT((0.3*'Sources &amp; Method'!$B$16)^2+'Sources &amp; Method'!$B$17^2)),(1-P5)*NORMSDIST((Calculator!$B$51-(J5+1))/SQRT((0.3*'Sources &amp; Method'!$B$16)^2+'Sources &amp; Method'!$B$18^2))+P5*NORMSDIST((Calculator!$B$51-85)/SQRT((0.3*'Sources &amp; Method'!$B$16)^2+2.5^2)))</f>
        <v>1.85825275699004E-051</v>
      </c>
      <c r="S5" s="18" t="n">
        <f aca="false">IF(OR(M5=0,O5="",Calculator!$B$25=0),0,IF(Calculator!$B$25&gt;=999,'Sources &amp; Method'!$B$21,MIN('Sources &amp; Method'!$B$21,NORMSDIST((Calculator!$B$25-O5+0.5)/'Sources &amp; Method'!$B$20))))</f>
        <v>0</v>
      </c>
      <c r="T5" s="18" t="n">
        <f aca="false">IF(OR(M5=0,O5="",Calculator!$B$54=0),0,IF(Calculator!$B$54&gt;=999,'Sources &amp; Method'!$B$21,MIN('Sources &amp; Method'!$B$21,NORMSDIST((Calculator!$B$54-O5+0.5)/'Sources &amp; Method'!$B$20))))</f>
        <v>0.97</v>
      </c>
      <c r="U5" s="17" t="n">
        <f aca="false">RANK(J5,$J$2:$J$76)</f>
        <v>18</v>
      </c>
    </row>
    <row r="6" customFormat="false" ht="15" hidden="false" customHeight="false" outlineLevel="0" collapsed="false">
      <c r="A6" s="6" t="s">
        <v>157</v>
      </c>
      <c r="B6" s="6" t="s">
        <v>158</v>
      </c>
      <c r="C6" s="6" t="s">
        <v>151</v>
      </c>
      <c r="D6" s="20" t="n">
        <v>-6.914579</v>
      </c>
      <c r="E6" s="20" t="n">
        <v>107.614507</v>
      </c>
      <c r="F6" s="21" t="n">
        <f aca="false">2*6371000*ASIN(SQRT(SIN(RADIANS(D6-'Sources &amp; Method'!$B$28)/2)^2+COS(RADIANS('Sources &amp; Method'!$B$28))*COS(RADIANS(D6))*SIN(RADIANS(E6-'Sources &amp; Method'!$B$29)/2)^2))</f>
        <v>9493.20756097055</v>
      </c>
      <c r="G6" s="22" t="n">
        <v>39</v>
      </c>
      <c r="H6" s="22" t="n">
        <v>87</v>
      </c>
      <c r="I6" s="23" t="n">
        <f aca="false">IF(G6=0,0,H6/G6)</f>
        <v>2.23076923076923</v>
      </c>
      <c r="J6" s="24" t="n">
        <v>93.567</v>
      </c>
      <c r="K6" s="24" t="n">
        <v>94.751</v>
      </c>
      <c r="L6" s="24" t="n">
        <v>88.34</v>
      </c>
      <c r="M6" s="22" t="n">
        <v>26</v>
      </c>
      <c r="N6" s="22" t="n">
        <v>48</v>
      </c>
      <c r="O6" s="25" t="n">
        <v>32</v>
      </c>
      <c r="P6" s="26" t="n">
        <f aca="false">'Sources &amp; Method'!$B$19</f>
        <v>0.3</v>
      </c>
      <c r="Q6" s="18" t="n">
        <f aca="false">IF(J6&gt;80,NORMSDIST((Calculator!$B$22-J6)/SQRT((0.3*'Sources &amp; Method'!$B$16)^2+'Sources &amp; Method'!$B$17^2)),(1-P6)*NORMSDIST((Calculator!$B$22-(J6+1))/SQRT((0.3*'Sources &amp; Method'!$B$16)^2+'Sources &amp; Method'!$B$18^2))+P6*NORMSDIST((Calculator!$B$22-85)/SQRT((0.3*'Sources &amp; Method'!$B$16)^2+2.5^2)))</f>
        <v>0.0681304851289736</v>
      </c>
      <c r="R6" s="18" t="n">
        <f aca="false">IF(J6&gt;80,NORMSDIST((Calculator!$B$51-J6)/SQRT((0.3*'Sources &amp; Method'!$B$16)^2+'Sources &amp; Method'!$B$17^2)),(1-P6)*NORMSDIST((Calculator!$B$51-(J6+1))/SQRT((0.3*'Sources &amp; Method'!$B$16)^2+'Sources &amp; Method'!$B$18^2))+P6*NORMSDIST((Calculator!$B$51-85)/SQRT((0.3*'Sources &amp; Method'!$B$16)^2+2.5^2)))</f>
        <v>1.52390282427723E-066</v>
      </c>
      <c r="S6" s="18" t="n">
        <f aca="false">IF(OR(M6=0,O6="",Calculator!$B$25=0),0,IF(Calculator!$B$25&gt;=999,'Sources &amp; Method'!$B$21,MIN('Sources &amp; Method'!$B$21,NORMSDIST((Calculator!$B$25-O6+0.5)/'Sources &amp; Method'!$B$20))))</f>
        <v>0</v>
      </c>
      <c r="T6" s="18" t="n">
        <f aca="false">IF(OR(M6=0,O6="",Calculator!$B$54=0),0,IF(Calculator!$B$54&gt;=999,'Sources &amp; Method'!$B$21,MIN('Sources &amp; Method'!$B$21,NORMSDIST((Calculator!$B$54-O6+0.5)/'Sources &amp; Method'!$B$20))))</f>
        <v>0.97</v>
      </c>
      <c r="U6" s="17" t="n">
        <f aca="false">RANK(J6,$J$2:$J$76)</f>
        <v>2</v>
      </c>
    </row>
    <row r="7" customFormat="false" ht="15" hidden="false" customHeight="false" outlineLevel="0" collapsed="false">
      <c r="A7" s="6" t="s">
        <v>159</v>
      </c>
      <c r="B7" s="6" t="s">
        <v>160</v>
      </c>
      <c r="C7" s="6" t="s">
        <v>148</v>
      </c>
      <c r="D7" s="20" t="n">
        <v>-6.91854</v>
      </c>
      <c r="E7" s="20" t="n">
        <v>107.601761</v>
      </c>
      <c r="F7" s="21" t="n">
        <f aca="false">2*6371000*ASIN(SQRT(SIN(RADIANS(D7-'Sources &amp; Method'!$B$28)/2)^2+COS(RADIANS('Sources &amp; Method'!$B$28))*COS(RADIANS(D7))*SIN(RADIANS(E7-'Sources &amp; Method'!$B$29)/2)^2))</f>
        <v>10913.785804237</v>
      </c>
      <c r="G7" s="22" t="n">
        <v>62</v>
      </c>
      <c r="H7" s="22" t="n">
        <v>25</v>
      </c>
      <c r="I7" s="23" t="n">
        <f aca="false">IF(G7=0,0,H7/G7)</f>
        <v>0.403225806451613</v>
      </c>
      <c r="J7" s="24" t="n">
        <v>44.756</v>
      </c>
      <c r="K7" s="24" t="n">
        <v>46.872</v>
      </c>
      <c r="L7" s="24" t="n">
        <v>71.66</v>
      </c>
      <c r="M7" s="22" t="n">
        <v>3</v>
      </c>
      <c r="N7" s="22" t="n">
        <v>1</v>
      </c>
      <c r="O7" s="25" t="n">
        <v>12</v>
      </c>
      <c r="P7" s="26" t="n">
        <f aca="false">'Sources &amp; Method'!$B$19</f>
        <v>0.3</v>
      </c>
      <c r="Q7" s="18" t="n">
        <f aca="false">IF(J7&gt;80,NORMSDIST((Calculator!$B$22-J7)/SQRT((0.3*'Sources &amp; Method'!$B$16)^2+'Sources &amp; Method'!$B$17^2)),(1-P7)*NORMSDIST((Calculator!$B$22-(J7+1))/SQRT((0.3*'Sources &amp; Method'!$B$16)^2+'Sources &amp; Method'!$B$18^2))+P7*NORMSDIST((Calculator!$B$22-85)/SQRT((0.3*'Sources &amp; Method'!$B$16)^2+2.5^2)))</f>
        <v>0.974011137199435</v>
      </c>
      <c r="R7" s="18" t="n">
        <f aca="false">IF(J7&gt;80,NORMSDIST((Calculator!$B$51-J7)/SQRT((0.3*'Sources &amp; Method'!$B$16)^2+'Sources &amp; Method'!$B$17^2)),(1-P7)*NORMSDIST((Calculator!$B$51-(J7+1))/SQRT((0.3*'Sources &amp; Method'!$B$16)^2+'Sources &amp; Method'!$B$18^2))+P7*NORMSDIST((Calculator!$B$51-85)/SQRT((0.3*'Sources &amp; Method'!$B$16)^2+2.5^2)))</f>
        <v>0.369829830197514</v>
      </c>
      <c r="S7" s="18" t="n">
        <f aca="false">IF(OR(M7=0,O7="",Calculator!$B$25=0),0,IF(Calculator!$B$25&gt;=999,'Sources &amp; Method'!$B$21,MIN('Sources &amp; Method'!$B$21,NORMSDIST((Calculator!$B$25-O7+0.5)/'Sources &amp; Method'!$B$20))))</f>
        <v>0</v>
      </c>
      <c r="T7" s="18" t="n">
        <f aca="false">IF(OR(M7=0,O7="",Calculator!$B$54=0),0,IF(Calculator!$B$54&gt;=999,'Sources &amp; Method'!$B$21,MIN('Sources &amp; Method'!$B$21,NORMSDIST((Calculator!$B$54-O7+0.5)/'Sources &amp; Method'!$B$20))))</f>
        <v>0.97</v>
      </c>
      <c r="U7" s="17" t="n">
        <f aca="false">RANK(J7,$J$2:$J$76)</f>
        <v>59</v>
      </c>
    </row>
    <row r="8" customFormat="false" ht="15" hidden="false" customHeight="false" outlineLevel="0" collapsed="false">
      <c r="A8" s="6" t="s">
        <v>161</v>
      </c>
      <c r="B8" s="6" t="s">
        <v>162</v>
      </c>
      <c r="C8" s="6" t="s">
        <v>151</v>
      </c>
      <c r="D8" s="20" t="n">
        <v>-6.90706</v>
      </c>
      <c r="E8" s="20" t="n">
        <v>107.61859</v>
      </c>
      <c r="F8" s="21" t="n">
        <f aca="false">2*6371000*ASIN(SQRT(SIN(RADIANS(D8-'Sources &amp; Method'!$B$28)/2)^2+COS(RADIANS('Sources &amp; Method'!$B$28))*COS(RADIANS(D8))*SIN(RADIANS(E8-'Sources &amp; Method'!$B$29)/2)^2))</f>
        <v>9070.12639983074</v>
      </c>
      <c r="G8" s="22" t="n">
        <v>39</v>
      </c>
      <c r="H8" s="22" t="n">
        <v>63</v>
      </c>
      <c r="I8" s="23" t="n">
        <f aca="false">IF(G8=0,0,H8/G8)</f>
        <v>1.61538461538462</v>
      </c>
      <c r="J8" s="24" t="n">
        <v>92.179</v>
      </c>
      <c r="K8" s="24" t="n">
        <v>93.385</v>
      </c>
      <c r="L8" s="24" t="n">
        <v>86.66</v>
      </c>
      <c r="M8" s="22" t="n">
        <v>26</v>
      </c>
      <c r="N8" s="22" t="n">
        <v>48</v>
      </c>
      <c r="O8" s="25" t="n">
        <v>26</v>
      </c>
      <c r="P8" s="26" t="n">
        <f aca="false">'Sources &amp; Method'!$B$19</f>
        <v>0.3</v>
      </c>
      <c r="Q8" s="18" t="n">
        <f aca="false">IF(J8&gt;80,NORMSDIST((Calculator!$B$22-J8)/SQRT((0.3*'Sources &amp; Method'!$B$16)^2+'Sources &amp; Method'!$B$17^2)),(1-P8)*NORMSDIST((Calculator!$B$22-(J8+1))/SQRT((0.3*'Sources &amp; Method'!$B$16)^2+'Sources &amp; Method'!$B$18^2))+P8*NORMSDIST((Calculator!$B$22-85)/SQRT((0.3*'Sources &amp; Method'!$B$16)^2+2.5^2)))</f>
        <v>0.161569505014906</v>
      </c>
      <c r="R8" s="18" t="n">
        <f aca="false">IF(J8&gt;80,NORMSDIST((Calculator!$B$51-J8)/SQRT((0.3*'Sources &amp; Method'!$B$16)^2+'Sources &amp; Method'!$B$17^2)),(1-P8)*NORMSDIST((Calculator!$B$51-(J8+1))/SQRT((0.3*'Sources &amp; Method'!$B$16)^2+'Sources &amp; Method'!$B$18^2))+P8*NORMSDIST((Calculator!$B$51-85)/SQRT((0.3*'Sources &amp; Method'!$B$16)^2+2.5^2)))</f>
        <v>7.72553820721735E-063</v>
      </c>
      <c r="S8" s="18" t="n">
        <f aca="false">IF(OR(M8=0,O8="",Calculator!$B$25=0),0,IF(Calculator!$B$25&gt;=999,'Sources &amp; Method'!$B$21,MIN('Sources &amp; Method'!$B$21,NORMSDIST((Calculator!$B$25-O8+0.5)/'Sources &amp; Method'!$B$20))))</f>
        <v>0</v>
      </c>
      <c r="T8" s="18" t="n">
        <f aca="false">IF(OR(M8=0,O8="",Calculator!$B$54=0),0,IF(Calculator!$B$54&gt;=999,'Sources &amp; Method'!$B$21,MIN('Sources &amp; Method'!$B$21,NORMSDIST((Calculator!$B$54-O8+0.5)/'Sources &amp; Method'!$B$20))))</f>
        <v>0.97</v>
      </c>
      <c r="U8" s="17" t="n">
        <f aca="false">RANK(J8,$J$2:$J$76)</f>
        <v>3</v>
      </c>
    </row>
    <row r="9" customFormat="false" ht="15" hidden="false" customHeight="false" outlineLevel="0" collapsed="false">
      <c r="A9" s="6" t="s">
        <v>113</v>
      </c>
      <c r="B9" s="6" t="s">
        <v>163</v>
      </c>
      <c r="C9" s="6" t="s">
        <v>164</v>
      </c>
      <c r="D9" s="20" t="n">
        <v>-6.91247</v>
      </c>
      <c r="E9" s="20" t="n">
        <v>107.701615</v>
      </c>
      <c r="F9" s="21" t="n">
        <f aca="false">2*6371000*ASIN(SQRT(SIN(RADIANS(D9-'Sources &amp; Method'!$B$28)/2)^2+COS(RADIANS('Sources &amp; Method'!$B$28))*COS(RADIANS(D9))*SIN(RADIANS(E9-'Sources &amp; Method'!$B$29)/2)^2))</f>
        <v>168.12564206176</v>
      </c>
      <c r="G9" s="22" t="n">
        <v>20</v>
      </c>
      <c r="H9" s="22" t="n">
        <v>55</v>
      </c>
      <c r="I9" s="23" t="n">
        <f aca="false">IF(G9=0,0,H9/G9)</f>
        <v>2.75</v>
      </c>
      <c r="J9" s="24" t="n">
        <v>92.179</v>
      </c>
      <c r="K9" s="24" t="n">
        <v>93.539</v>
      </c>
      <c r="L9" s="24" t="n">
        <v>85</v>
      </c>
      <c r="M9" s="22" t="n">
        <v>13</v>
      </c>
      <c r="N9" s="22" t="n">
        <v>20</v>
      </c>
      <c r="O9" s="25" t="n">
        <v>14</v>
      </c>
      <c r="P9" s="26" t="n">
        <f aca="false">MIN(0.6,COUNTIF(INDEX('Report 2023-2025'!$B$2:$D$20,MATCH(A9,'Report 2023-2025'!$A$2:$A$20,0),0),"&gt;80")/4*0.6)</f>
        <v>0.45</v>
      </c>
      <c r="Q9" s="18" t="n">
        <f aca="false">IF(J9&gt;80,NORMSDIST((Calculator!$B$22-J9)/SQRT((0.3*'Sources &amp; Method'!$B$16)^2+'Sources &amp; Method'!$B$17^2)),(1-P9)*NORMSDIST((Calculator!$B$22-(J9+1))/SQRT((0.3*'Sources &amp; Method'!$B$16)^2+'Sources &amp; Method'!$B$18^2))+P9*NORMSDIST((Calculator!$B$22-85)/SQRT((0.3*'Sources &amp; Method'!$B$16)^2+2.5^2)))</f>
        <v>0.161569505014906</v>
      </c>
      <c r="R9" s="18" t="n">
        <f aca="false">IF(J9&gt;80,NORMSDIST((Calculator!$B$51-J9)/SQRT((0.3*'Sources &amp; Method'!$B$16)^2+'Sources &amp; Method'!$B$17^2)),(1-P9)*NORMSDIST((Calculator!$B$51-(J9+1))/SQRT((0.3*'Sources &amp; Method'!$B$16)^2+'Sources &amp; Method'!$B$18^2))+P9*NORMSDIST((Calculator!$B$51-85)/SQRT((0.3*'Sources &amp; Method'!$B$16)^2+2.5^2)))</f>
        <v>7.72553820721735E-063</v>
      </c>
      <c r="S9" s="18" t="n">
        <f aca="false">IF(OR(M9=0,O9="",Calculator!$B$25=0),0,IF(Calculator!$B$25&gt;=999,'Sources &amp; Method'!$B$21,MIN('Sources &amp; Method'!$B$21,NORMSDIST((Calculator!$B$25-O9+0.5)/'Sources &amp; Method'!$B$20))))</f>
        <v>0</v>
      </c>
      <c r="T9" s="18" t="n">
        <f aca="false">IF(OR(M9=0,O9="",Calculator!$B$54=0),0,IF(Calculator!$B$54&gt;=999,'Sources &amp; Method'!$B$21,MIN('Sources &amp; Method'!$B$21,NORMSDIST((Calculator!$B$54-O9+0.5)/'Sources &amp; Method'!$B$20))))</f>
        <v>0.97</v>
      </c>
      <c r="U9" s="17" t="n">
        <f aca="false">RANK(J9,$J$2:$J$76)</f>
        <v>3</v>
      </c>
    </row>
    <row r="10" customFormat="false" ht="15" hidden="false" customHeight="false" outlineLevel="0" collapsed="false">
      <c r="A10" s="6" t="s">
        <v>165</v>
      </c>
      <c r="B10" s="6" t="s">
        <v>166</v>
      </c>
      <c r="C10" s="6" t="s">
        <v>148</v>
      </c>
      <c r="D10" s="20" t="n">
        <v>-6.908744</v>
      </c>
      <c r="E10" s="20" t="n">
        <v>107.596766</v>
      </c>
      <c r="F10" s="21" t="n">
        <f aca="false">2*6371000*ASIN(SQRT(SIN(RADIANS(D10-'Sources &amp; Method'!$B$28)/2)^2+COS(RADIANS('Sources &amp; Method'!$B$28))*COS(RADIANS(D10))*SIN(RADIANS(E10-'Sources &amp; Method'!$B$29)/2)^2))</f>
        <v>11463.0888711398</v>
      </c>
      <c r="G10" s="22" t="n">
        <v>48</v>
      </c>
      <c r="H10" s="22" t="n">
        <v>105</v>
      </c>
      <c r="I10" s="23" t="n">
        <f aca="false">IF(G10=0,0,H10/G10)</f>
        <v>2.1875</v>
      </c>
      <c r="J10" s="24" t="n">
        <v>89.138</v>
      </c>
      <c r="K10" s="24" t="n">
        <v>90.707</v>
      </c>
      <c r="L10" s="24" t="n">
        <v>80</v>
      </c>
      <c r="M10" s="22" t="n">
        <v>32</v>
      </c>
      <c r="N10" s="22" t="n">
        <v>36</v>
      </c>
      <c r="O10" s="25" t="n">
        <v>14</v>
      </c>
      <c r="P10" s="26" t="n">
        <f aca="false">'Sources &amp; Method'!$B$19</f>
        <v>0.3</v>
      </c>
      <c r="Q10" s="18" t="n">
        <f aca="false">IF(J10&gt;80,NORMSDIST((Calculator!$B$22-J10)/SQRT((0.3*'Sources &amp; Method'!$B$16)^2+'Sources &amp; Method'!$B$17^2)),(1-P10)*NORMSDIST((Calculator!$B$22-(J10+1))/SQRT((0.3*'Sources &amp; Method'!$B$16)^2+'Sources &amp; Method'!$B$18^2))+P10*NORMSDIST((Calculator!$B$22-85)/SQRT((0.3*'Sources &amp; Method'!$B$16)^2+2.5^2)))</f>
        <v>0.544369459696574</v>
      </c>
      <c r="R10" s="18" t="n">
        <f aca="false">IF(J10&gt;80,NORMSDIST((Calculator!$B$51-J10)/SQRT((0.3*'Sources &amp; Method'!$B$16)^2+'Sources &amp; Method'!$B$17^2)),(1-P10)*NORMSDIST((Calculator!$B$51-(J10+1))/SQRT((0.3*'Sources &amp; Method'!$B$16)^2+'Sources &amp; Method'!$B$18^2))+P10*NORMSDIST((Calculator!$B$51-85)/SQRT((0.3*'Sources &amp; Method'!$B$16)^2+2.5^2)))</f>
        <v>4.21018208368552E-055</v>
      </c>
      <c r="S10" s="18" t="n">
        <f aca="false">IF(OR(M10=0,O10="",Calculator!$B$25=0),0,IF(Calculator!$B$25&gt;=999,'Sources &amp; Method'!$B$21,MIN('Sources &amp; Method'!$B$21,NORMSDIST((Calculator!$B$25-O10+0.5)/'Sources &amp; Method'!$B$20))))</f>
        <v>0</v>
      </c>
      <c r="T10" s="18" t="n">
        <f aca="false">IF(OR(M10=0,O10="",Calculator!$B$54=0),0,IF(Calculator!$B$54&gt;=999,'Sources &amp; Method'!$B$21,MIN('Sources &amp; Method'!$B$21,NORMSDIST((Calculator!$B$54-O10+0.5)/'Sources &amp; Method'!$B$20))))</f>
        <v>0.97</v>
      </c>
      <c r="U10" s="17" t="n">
        <f aca="false">RANK(J10,$J$2:$J$76)</f>
        <v>14</v>
      </c>
    </row>
    <row r="11" customFormat="false" ht="15" hidden="false" customHeight="false" outlineLevel="0" collapsed="false">
      <c r="A11" s="6" t="s">
        <v>167</v>
      </c>
      <c r="B11" s="6" t="s">
        <v>168</v>
      </c>
      <c r="C11" s="6" t="s">
        <v>154</v>
      </c>
      <c r="D11" s="20" t="n">
        <v>-6.929169</v>
      </c>
      <c r="E11" s="20" t="n">
        <v>107.605935</v>
      </c>
      <c r="F11" s="21" t="n">
        <f aca="false">2*6371000*ASIN(SQRT(SIN(RADIANS(D11-'Sources &amp; Method'!$B$28)/2)^2+COS(RADIANS('Sources &amp; Method'!$B$28))*COS(RADIANS(D11))*SIN(RADIANS(E11-'Sources &amp; Method'!$B$29)/2)^2))</f>
        <v>10582.9270107159</v>
      </c>
      <c r="G11" s="22" t="n">
        <v>29</v>
      </c>
      <c r="H11" s="22" t="n">
        <v>29</v>
      </c>
      <c r="I11" s="23" t="n">
        <f aca="false">IF(G11=0,0,H11/G11)</f>
        <v>1</v>
      </c>
      <c r="J11" s="24" t="n">
        <v>86.425</v>
      </c>
      <c r="K11" s="24" t="n">
        <v>87.941</v>
      </c>
      <c r="L11" s="24" t="n">
        <v>73.33</v>
      </c>
      <c r="M11" s="22" t="n">
        <v>20</v>
      </c>
      <c r="N11" s="22" t="n">
        <v>9</v>
      </c>
      <c r="O11" s="25" t="n">
        <v>6</v>
      </c>
      <c r="P11" s="26" t="n">
        <f aca="false">'Sources &amp; Method'!$B$19</f>
        <v>0.3</v>
      </c>
      <c r="Q11" s="18" t="n">
        <f aca="false">IF(J11&gt;80,NORMSDIST((Calculator!$B$22-J11)/SQRT((0.3*'Sources &amp; Method'!$B$16)^2+'Sources &amp; Method'!$B$17^2)),(1-P11)*NORMSDIST((Calculator!$B$22-(J11+1))/SQRT((0.3*'Sources &amp; Method'!$B$16)^2+'Sources &amp; Method'!$B$18^2))+P11*NORMSDIST((Calculator!$B$22-85)/SQRT((0.3*'Sources &amp; Method'!$B$16)^2+2.5^2)))</f>
        <v>0.862657112472181</v>
      </c>
      <c r="R11" s="18" t="n">
        <f aca="false">IF(J11&gt;80,NORMSDIST((Calculator!$B$51-J11)/SQRT((0.3*'Sources &amp; Method'!$B$16)^2+'Sources &amp; Method'!$B$17^2)),(1-P11)*NORMSDIST((Calculator!$B$51-(J11+1))/SQRT((0.3*'Sources &amp; Method'!$B$16)^2+'Sources &amp; Method'!$B$18^2))+P11*NORMSDIST((Calculator!$B$51-85)/SQRT((0.3*'Sources &amp; Method'!$B$16)^2+2.5^2)))</f>
        <v>1.21589776634368E-048</v>
      </c>
      <c r="S11" s="18" t="n">
        <f aca="false">IF(OR(M11=0,O11="",Calculator!$B$25=0),0,IF(Calculator!$B$25&gt;=999,'Sources &amp; Method'!$B$21,MIN('Sources &amp; Method'!$B$21,NORMSDIST((Calculator!$B$25-O11+0.5)/'Sources &amp; Method'!$B$20))))</f>
        <v>0</v>
      </c>
      <c r="T11" s="18" t="n">
        <f aca="false">IF(OR(M11=0,O11="",Calculator!$B$54=0),0,IF(Calculator!$B$54&gt;=999,'Sources &amp; Method'!$B$21,MIN('Sources &amp; Method'!$B$21,NORMSDIST((Calculator!$B$54-O11+0.5)/'Sources &amp; Method'!$B$20))))</f>
        <v>0.97</v>
      </c>
      <c r="U11" s="17" t="n">
        <f aca="false">RANK(J11,$J$2:$J$76)</f>
        <v>24</v>
      </c>
    </row>
    <row r="12" customFormat="false" ht="15" hidden="false" customHeight="false" outlineLevel="0" collapsed="false">
      <c r="A12" s="6" t="s">
        <v>169</v>
      </c>
      <c r="B12" s="6" t="s">
        <v>170</v>
      </c>
      <c r="C12" s="6" t="s">
        <v>154</v>
      </c>
      <c r="D12" s="20" t="n">
        <v>-6.934838</v>
      </c>
      <c r="E12" s="20" t="n">
        <v>107.608012</v>
      </c>
      <c r="F12" s="21" t="n">
        <f aca="false">2*6371000*ASIN(SQRT(SIN(RADIANS(D12-'Sources &amp; Method'!$B$28)/2)^2+COS(RADIANS('Sources &amp; Method'!$B$28))*COS(RADIANS(D12))*SIN(RADIANS(E12-'Sources &amp; Method'!$B$29)/2)^2))</f>
        <v>10481.2758717158</v>
      </c>
      <c r="G12" s="22" t="n">
        <v>44</v>
      </c>
      <c r="H12" s="22" t="n">
        <v>57</v>
      </c>
      <c r="I12" s="23" t="n">
        <f aca="false">IF(G12=0,0,H12/G12)</f>
        <v>1.29545454545455</v>
      </c>
      <c r="J12" s="24" t="n">
        <v>88.242</v>
      </c>
      <c r="K12" s="24" t="n">
        <v>91.402</v>
      </c>
      <c r="L12" s="24" t="n">
        <v>80</v>
      </c>
      <c r="M12" s="22" t="n">
        <v>29</v>
      </c>
      <c r="N12" s="22" t="n">
        <v>38</v>
      </c>
      <c r="O12" s="25" t="n">
        <v>12</v>
      </c>
      <c r="P12" s="26" t="n">
        <f aca="false">'Sources &amp; Method'!$B$19</f>
        <v>0.3</v>
      </c>
      <c r="Q12" s="18" t="n">
        <f aca="false">IF(J12&gt;80,NORMSDIST((Calculator!$B$22-J12)/SQRT((0.3*'Sources &amp; Method'!$B$16)^2+'Sources &amp; Method'!$B$17^2)),(1-P12)*NORMSDIST((Calculator!$B$22-(J12+1))/SQRT((0.3*'Sources &amp; Method'!$B$16)^2+'Sources &amp; Method'!$B$18^2))+P12*NORMSDIST((Calculator!$B$22-85)/SQRT((0.3*'Sources &amp; Method'!$B$16)^2+2.5^2)))</f>
        <v>0.668363039968554</v>
      </c>
      <c r="R12" s="18" t="n">
        <f aca="false">IF(J12&gt;80,NORMSDIST((Calculator!$B$51-J12)/SQRT((0.3*'Sources &amp; Method'!$B$16)^2+'Sources &amp; Method'!$B$17^2)),(1-P12)*NORMSDIST((Calculator!$B$51-(J12+1))/SQRT((0.3*'Sources &amp; Method'!$B$16)^2+'Sources &amp; Method'!$B$18^2))+P12*NORMSDIST((Calculator!$B$51-85)/SQRT((0.3*'Sources &amp; Method'!$B$16)^2+2.5^2)))</f>
        <v>6.36801784859463E-053</v>
      </c>
      <c r="S12" s="18" t="n">
        <f aca="false">IF(OR(M12=0,O12="",Calculator!$B$25=0),0,IF(Calculator!$B$25&gt;=999,'Sources &amp; Method'!$B$21,MIN('Sources &amp; Method'!$B$21,NORMSDIST((Calculator!$B$25-O12+0.5)/'Sources &amp; Method'!$B$20))))</f>
        <v>0</v>
      </c>
      <c r="T12" s="18" t="n">
        <f aca="false">IF(OR(M12=0,O12="",Calculator!$B$54=0),0,IF(Calculator!$B$54&gt;=999,'Sources &amp; Method'!$B$21,MIN('Sources &amp; Method'!$B$21,NORMSDIST((Calculator!$B$54-O12+0.5)/'Sources &amp; Method'!$B$20))))</f>
        <v>0.97</v>
      </c>
      <c r="U12" s="17" t="n">
        <f aca="false">RANK(J12,$J$2:$J$76)</f>
        <v>16</v>
      </c>
    </row>
    <row r="13" customFormat="false" ht="15" hidden="false" customHeight="false" outlineLevel="0" collapsed="false">
      <c r="A13" s="6" t="s">
        <v>171</v>
      </c>
      <c r="B13" s="6" t="s">
        <v>172</v>
      </c>
      <c r="C13" s="6" t="s">
        <v>151</v>
      </c>
      <c r="D13" s="20" t="n">
        <v>-6.865987</v>
      </c>
      <c r="E13" s="20" t="n">
        <v>107.593617</v>
      </c>
      <c r="F13" s="21" t="n">
        <f aca="false">2*6371000*ASIN(SQRT(SIN(RADIANS(D13-'Sources &amp; Method'!$B$28)/2)^2+COS(RADIANS('Sources &amp; Method'!$B$28))*COS(RADIANS(D13))*SIN(RADIANS(E13-'Sources &amp; Method'!$B$29)/2)^2))</f>
        <v>12927.8470398662</v>
      </c>
      <c r="G13" s="22" t="n">
        <v>34</v>
      </c>
      <c r="H13" s="22" t="n">
        <v>78</v>
      </c>
      <c r="I13" s="23" t="n">
        <f aca="false">IF(G13=0,0,H13/G13)</f>
        <v>2.29411764705882</v>
      </c>
      <c r="J13" s="24" t="n">
        <v>90.848</v>
      </c>
      <c r="K13" s="24" t="n">
        <v>92.818</v>
      </c>
      <c r="L13" s="24" t="n">
        <v>85</v>
      </c>
      <c r="M13" s="22" t="n">
        <v>23</v>
      </c>
      <c r="N13" s="22" t="n">
        <v>35</v>
      </c>
      <c r="O13" s="25" t="n">
        <v>20</v>
      </c>
      <c r="P13" s="26" t="n">
        <f aca="false">'Sources &amp; Method'!$B$19</f>
        <v>0.3</v>
      </c>
      <c r="Q13" s="18" t="n">
        <f aca="false">IF(J13&gt;80,NORMSDIST((Calculator!$B$22-J13)/SQRT((0.3*'Sources &amp; Method'!$B$16)^2+'Sources &amp; Method'!$B$17^2)),(1-P13)*NORMSDIST((Calculator!$B$22-(J13+1))/SQRT((0.3*'Sources &amp; Method'!$B$16)^2+'Sources &amp; Method'!$B$18^2))+P13*NORMSDIST((Calculator!$B$22-85)/SQRT((0.3*'Sources &amp; Method'!$B$16)^2+2.5^2)))</f>
        <v>0.306146251186224</v>
      </c>
      <c r="R13" s="18" t="n">
        <f aca="false">IF(J13&gt;80,NORMSDIST((Calculator!$B$51-J13)/SQRT((0.3*'Sources &amp; Method'!$B$16)^2+'Sources &amp; Method'!$B$17^2)),(1-P13)*NORMSDIST((Calculator!$B$51-(J13+1))/SQRT((0.3*'Sources &amp; Method'!$B$16)^2+'Sources &amp; Method'!$B$18^2))+P13*NORMSDIST((Calculator!$B$51-85)/SQRT((0.3*'Sources &amp; Method'!$B$16)^2+2.5^2)))</f>
        <v>2.17964508477777E-059</v>
      </c>
      <c r="S13" s="18" t="n">
        <f aca="false">IF(OR(M13=0,O13="",Calculator!$B$25=0),0,IF(Calculator!$B$25&gt;=999,'Sources &amp; Method'!$B$21,MIN('Sources &amp; Method'!$B$21,NORMSDIST((Calculator!$B$25-O13+0.5)/'Sources &amp; Method'!$B$20))))</f>
        <v>0</v>
      </c>
      <c r="T13" s="18" t="n">
        <f aca="false">IF(OR(M13=0,O13="",Calculator!$B$54=0),0,IF(Calculator!$B$54&gt;=999,'Sources &amp; Method'!$B$21,MIN('Sources &amp; Method'!$B$21,NORMSDIST((Calculator!$B$54-O13+0.5)/'Sources &amp; Method'!$B$20))))</f>
        <v>0.97</v>
      </c>
      <c r="U13" s="17" t="n">
        <f aca="false">RANK(J13,$J$2:$J$76)</f>
        <v>8</v>
      </c>
    </row>
    <row r="14" customFormat="false" ht="15" hidden="false" customHeight="false" outlineLevel="0" collapsed="false">
      <c r="A14" s="6" t="s">
        <v>173</v>
      </c>
      <c r="B14" s="6" t="s">
        <v>174</v>
      </c>
      <c r="C14" s="6" t="s">
        <v>154</v>
      </c>
      <c r="D14" s="20" t="n">
        <v>-6.935746</v>
      </c>
      <c r="E14" s="20" t="n">
        <v>107.622676</v>
      </c>
      <c r="F14" s="21" t="n">
        <f aca="false">2*6371000*ASIN(SQRT(SIN(RADIANS(D14-'Sources &amp; Method'!$B$28)/2)^2+COS(RADIANS('Sources &amp; Method'!$B$28))*COS(RADIANS(D14))*SIN(RADIANS(E14-'Sources &amp; Method'!$B$29)/2)^2))</f>
        <v>8939.56296548241</v>
      </c>
      <c r="G14" s="22" t="n">
        <v>44</v>
      </c>
      <c r="H14" s="22" t="n">
        <v>71</v>
      </c>
      <c r="I14" s="23" t="n">
        <f aca="false">IF(G14=0,0,H14/G14)</f>
        <v>1.61363636363636</v>
      </c>
      <c r="J14" s="24" t="n">
        <v>92</v>
      </c>
      <c r="K14" s="24" t="n">
        <v>93.399</v>
      </c>
      <c r="L14" s="24" t="n">
        <v>85</v>
      </c>
      <c r="M14" s="22" t="n">
        <v>29</v>
      </c>
      <c r="N14" s="22" t="n">
        <v>36</v>
      </c>
      <c r="O14" s="25" t="n">
        <v>24</v>
      </c>
      <c r="P14" s="26" t="n">
        <f aca="false">'Sources &amp; Method'!$B$19</f>
        <v>0.3</v>
      </c>
      <c r="Q14" s="18" t="n">
        <f aca="false">IF(J14&gt;80,NORMSDIST((Calculator!$B$22-J14)/SQRT((0.3*'Sources &amp; Method'!$B$16)^2+'Sources &amp; Method'!$B$17^2)),(1-P14)*NORMSDIST((Calculator!$B$22-(J14+1))/SQRT((0.3*'Sources &amp; Method'!$B$16)^2+'Sources &amp; Method'!$B$18^2))+P14*NORMSDIST((Calculator!$B$22-85)/SQRT((0.3*'Sources &amp; Method'!$B$16)^2+2.5^2)))</f>
        <v>0.177922771017883</v>
      </c>
      <c r="R14" s="18" t="n">
        <f aca="false">IF(J14&gt;80,NORMSDIST((Calculator!$B$51-J14)/SQRT((0.3*'Sources &amp; Method'!$B$16)^2+'Sources &amp; Method'!$B$17^2)),(1-P14)*NORMSDIST((Calculator!$B$51-(J14+1))/SQRT((0.3*'Sources &amp; Method'!$B$16)^2+'Sources &amp; Method'!$B$18^2))+P14*NORMSDIST((Calculator!$B$51-85)/SQRT((0.3*'Sources &amp; Method'!$B$16)^2+2.5^2)))</f>
        <v>2.27927596456527E-062</v>
      </c>
      <c r="S14" s="18" t="n">
        <f aca="false">IF(OR(M14=0,O14="",Calculator!$B$25=0),0,IF(Calculator!$B$25&gt;=999,'Sources &amp; Method'!$B$21,MIN('Sources &amp; Method'!$B$21,NORMSDIST((Calculator!$B$25-O14+0.5)/'Sources &amp; Method'!$B$20))))</f>
        <v>0</v>
      </c>
      <c r="T14" s="18" t="n">
        <f aca="false">IF(OR(M14=0,O14="",Calculator!$B$54=0),0,IF(Calculator!$B$54&gt;=999,'Sources &amp; Method'!$B$21,MIN('Sources &amp; Method'!$B$21,NORMSDIST((Calculator!$B$54-O14+0.5)/'Sources &amp; Method'!$B$20))))</f>
        <v>0.97</v>
      </c>
      <c r="U14" s="17" t="n">
        <f aca="false">RANK(J14,$J$2:$J$76)</f>
        <v>5</v>
      </c>
    </row>
    <row r="15" customFormat="false" ht="15" hidden="false" customHeight="false" outlineLevel="0" collapsed="false">
      <c r="A15" s="6" t="s">
        <v>175</v>
      </c>
      <c r="B15" s="6" t="s">
        <v>176</v>
      </c>
      <c r="C15" s="6" t="s">
        <v>151</v>
      </c>
      <c r="D15" s="20" t="n">
        <v>-6.9081</v>
      </c>
      <c r="E15" s="20" t="n">
        <v>107.6304</v>
      </c>
      <c r="F15" s="21" t="n">
        <f aca="false">2*6371000*ASIN(SQRT(SIN(RADIANS(D15-'Sources &amp; Method'!$B$28)/2)^2+COS(RADIANS('Sources &amp; Method'!$B$28))*COS(RADIANS(D15))*SIN(RADIANS(E15-'Sources &amp; Method'!$B$29)/2)^2))</f>
        <v>7761.39445219891</v>
      </c>
      <c r="G15" s="22" t="n">
        <v>39</v>
      </c>
      <c r="H15" s="22" t="n">
        <v>96</v>
      </c>
      <c r="I15" s="23" t="n">
        <f aca="false">IF(G15=0,0,H15/G15)</f>
        <v>2.46153846153846</v>
      </c>
      <c r="J15" s="24" t="n">
        <v>91.99</v>
      </c>
      <c r="K15" s="24" t="n">
        <v>93.428</v>
      </c>
      <c r="L15" s="24" t="n">
        <v>85</v>
      </c>
      <c r="M15" s="22" t="n">
        <v>26</v>
      </c>
      <c r="N15" s="22" t="n">
        <v>37</v>
      </c>
      <c r="O15" s="25" t="n">
        <v>22</v>
      </c>
      <c r="P15" s="26" t="n">
        <f aca="false">'Sources &amp; Method'!$B$19</f>
        <v>0.3</v>
      </c>
      <c r="Q15" s="18" t="n">
        <f aca="false">IF(J15&gt;80,NORMSDIST((Calculator!$B$22-J15)/SQRT((0.3*'Sources &amp; Method'!$B$16)^2+'Sources &amp; Method'!$B$17^2)),(1-P15)*NORMSDIST((Calculator!$B$22-(J15+1))/SQRT((0.3*'Sources &amp; Method'!$B$16)^2+'Sources &amp; Method'!$B$18^2))+P15*NORMSDIST((Calculator!$B$22-85)/SQRT((0.3*'Sources &amp; Method'!$B$16)^2+2.5^2)))</f>
        <v>0.178866147552412</v>
      </c>
      <c r="R15" s="18" t="n">
        <f aca="false">IF(J15&gt;80,NORMSDIST((Calculator!$B$51-J15)/SQRT((0.3*'Sources &amp; Method'!$B$16)^2+'Sources &amp; Method'!$B$17^2)),(1-P15)*NORMSDIST((Calculator!$B$51-(J15+1))/SQRT((0.3*'Sources &amp; Method'!$B$16)^2+'Sources &amp; Method'!$B$18^2))+P15*NORMSDIST((Calculator!$B$51-85)/SQRT((0.3*'Sources &amp; Method'!$B$16)^2+2.5^2)))</f>
        <v>2.42099041725845E-062</v>
      </c>
      <c r="S15" s="18" t="n">
        <f aca="false">IF(OR(M15=0,O15="",Calculator!$B$25=0),0,IF(Calculator!$B$25&gt;=999,'Sources &amp; Method'!$B$21,MIN('Sources &amp; Method'!$B$21,NORMSDIST((Calculator!$B$25-O15+0.5)/'Sources &amp; Method'!$B$20))))</f>
        <v>0</v>
      </c>
      <c r="T15" s="18" t="n">
        <f aca="false">IF(OR(M15=0,O15="",Calculator!$B$54=0),0,IF(Calculator!$B$54&gt;=999,'Sources &amp; Method'!$B$21,MIN('Sources &amp; Method'!$B$21,NORMSDIST((Calculator!$B$54-O15+0.5)/'Sources &amp; Method'!$B$20))))</f>
        <v>0.97</v>
      </c>
      <c r="U15" s="17" t="n">
        <f aca="false">RANK(J15,$J$2:$J$76)</f>
        <v>6</v>
      </c>
    </row>
    <row r="16" customFormat="false" ht="15" hidden="false" customHeight="false" outlineLevel="0" collapsed="false">
      <c r="A16" s="6" t="s">
        <v>177</v>
      </c>
      <c r="B16" s="6" t="s">
        <v>178</v>
      </c>
      <c r="C16" s="6" t="s">
        <v>151</v>
      </c>
      <c r="D16" s="20" t="n">
        <v>-6.87443</v>
      </c>
      <c r="E16" s="20" t="n">
        <v>107.59568</v>
      </c>
      <c r="F16" s="21" t="n">
        <f aca="false">2*6371000*ASIN(SQRT(SIN(RADIANS(D16-'Sources &amp; Method'!$B$28)/2)^2+COS(RADIANS('Sources &amp; Method'!$B$28))*COS(RADIANS(D16))*SIN(RADIANS(E16-'Sources &amp; Method'!$B$29)/2)^2))</f>
        <v>12359.8528344745</v>
      </c>
      <c r="G16" s="22" t="n">
        <v>24</v>
      </c>
      <c r="H16" s="22" t="n">
        <v>41</v>
      </c>
      <c r="I16" s="23" t="n">
        <f aca="false">IF(G16=0,0,H16/G16)</f>
        <v>1.70833333333333</v>
      </c>
      <c r="J16" s="24" t="n">
        <v>87.513</v>
      </c>
      <c r="K16" s="24" t="n">
        <v>89.244</v>
      </c>
      <c r="L16" s="24" t="n">
        <v>76.67</v>
      </c>
      <c r="M16" s="22" t="n">
        <v>16</v>
      </c>
      <c r="N16" s="22" t="n">
        <v>15</v>
      </c>
      <c r="O16" s="25" t="n">
        <v>12</v>
      </c>
      <c r="P16" s="26" t="n">
        <f aca="false">'Sources &amp; Method'!$B$19</f>
        <v>0.3</v>
      </c>
      <c r="Q16" s="18" t="n">
        <f aca="false">IF(J16&gt;80,NORMSDIST((Calculator!$B$22-J16)/SQRT((0.3*'Sources &amp; Method'!$B$16)^2+'Sources &amp; Method'!$B$17^2)),(1-P16)*NORMSDIST((Calculator!$B$22-(J16+1))/SQRT((0.3*'Sources &amp; Method'!$B$16)^2+'Sources &amp; Method'!$B$18^2))+P16*NORMSDIST((Calculator!$B$22-85)/SQRT((0.3*'Sources &amp; Method'!$B$16)^2+2.5^2)))</f>
        <v>0.757713989298184</v>
      </c>
      <c r="R16" s="18" t="n">
        <f aca="false">IF(J16&gt;80,NORMSDIST((Calculator!$B$51-J16)/SQRT((0.3*'Sources &amp; Method'!$B$16)^2+'Sources &amp; Method'!$B$17^2)),(1-P16)*NORMSDIST((Calculator!$B$51-(J16+1))/SQRT((0.3*'Sources &amp; Method'!$B$16)^2+'Sources &amp; Method'!$B$18^2))+P16*NORMSDIST((Calculator!$B$51-85)/SQRT((0.3*'Sources &amp; Method'!$B$16)^2+2.5^2)))</f>
        <v>3.4991329415297E-051</v>
      </c>
      <c r="S16" s="18" t="n">
        <f aca="false">IF(OR(M16=0,O16="",Calculator!$B$25=0),0,IF(Calculator!$B$25&gt;=999,'Sources &amp; Method'!$B$21,MIN('Sources &amp; Method'!$B$21,NORMSDIST((Calculator!$B$25-O16+0.5)/'Sources &amp; Method'!$B$20))))</f>
        <v>0</v>
      </c>
      <c r="T16" s="18" t="n">
        <f aca="false">IF(OR(M16=0,O16="",Calculator!$B$54=0),0,IF(Calculator!$B$54&gt;=999,'Sources &amp; Method'!$B$21,MIN('Sources &amp; Method'!$B$21,NORMSDIST((Calculator!$B$54-O16+0.5)/'Sources &amp; Method'!$B$20))))</f>
        <v>0.97</v>
      </c>
      <c r="U16" s="17" t="n">
        <f aca="false">RANK(J16,$J$2:$J$76)</f>
        <v>19</v>
      </c>
    </row>
    <row r="17" customFormat="false" ht="15" hidden="false" customHeight="false" outlineLevel="0" collapsed="false">
      <c r="A17" s="6" t="s">
        <v>179</v>
      </c>
      <c r="B17" s="6" t="s">
        <v>180</v>
      </c>
      <c r="C17" s="6" t="s">
        <v>151</v>
      </c>
      <c r="D17" s="20" t="n">
        <v>-6.899355</v>
      </c>
      <c r="E17" s="20" t="n">
        <v>107.642504</v>
      </c>
      <c r="F17" s="21" t="n">
        <f aca="false">2*6371000*ASIN(SQRT(SIN(RADIANS(D17-'Sources &amp; Method'!$B$28)/2)^2+COS(RADIANS('Sources &amp; Method'!$B$28))*COS(RADIANS(D17))*SIN(RADIANS(E17-'Sources &amp; Method'!$B$29)/2)^2))</f>
        <v>6592.44471231569</v>
      </c>
      <c r="G17" s="22" t="n">
        <v>34</v>
      </c>
      <c r="H17" s="22" t="n">
        <v>42</v>
      </c>
      <c r="I17" s="23" t="n">
        <f aca="false">IF(G17=0,0,H17/G17)</f>
        <v>1.23529411764706</v>
      </c>
      <c r="J17" s="24" t="n">
        <v>86.717</v>
      </c>
      <c r="K17" s="24" t="n">
        <v>88.718</v>
      </c>
      <c r="L17" s="24" t="n">
        <v>75</v>
      </c>
      <c r="M17" s="22" t="n">
        <v>23</v>
      </c>
      <c r="N17" s="22" t="n">
        <v>30</v>
      </c>
      <c r="O17" s="25" t="n">
        <v>14</v>
      </c>
      <c r="P17" s="26" t="n">
        <f aca="false">'Sources &amp; Method'!$B$19</f>
        <v>0.3</v>
      </c>
      <c r="Q17" s="18" t="n">
        <f aca="false">IF(J17&gt;80,NORMSDIST((Calculator!$B$22-J17)/SQRT((0.3*'Sources &amp; Method'!$B$16)^2+'Sources &amp; Method'!$B$17^2)),(1-P17)*NORMSDIST((Calculator!$B$22-(J17+1))/SQRT((0.3*'Sources &amp; Method'!$B$16)^2+'Sources &amp; Method'!$B$18^2))+P17*NORMSDIST((Calculator!$B$22-85)/SQRT((0.3*'Sources &amp; Method'!$B$16)^2+2.5^2)))</f>
        <v>0.838120439175098</v>
      </c>
      <c r="R17" s="18" t="n">
        <f aca="false">IF(J17&gt;80,NORMSDIST((Calculator!$B$51-J17)/SQRT((0.3*'Sources &amp; Method'!$B$16)^2+'Sources &amp; Method'!$B$17^2)),(1-P17)*NORMSDIST((Calculator!$B$51-(J17+1))/SQRT((0.3*'Sources &amp; Method'!$B$16)^2+'Sources &amp; Method'!$B$18^2))+P17*NORMSDIST((Calculator!$B$51-85)/SQRT((0.3*'Sources &amp; Method'!$B$16)^2+2.5^2)))</f>
        <v>2.56757261333965E-049</v>
      </c>
      <c r="S17" s="18" t="n">
        <f aca="false">IF(OR(M17=0,O17="",Calculator!$B$25=0),0,IF(Calculator!$B$25&gt;=999,'Sources &amp; Method'!$B$21,MIN('Sources &amp; Method'!$B$21,NORMSDIST((Calculator!$B$25-O17+0.5)/'Sources &amp; Method'!$B$20))))</f>
        <v>0</v>
      </c>
      <c r="T17" s="18" t="n">
        <f aca="false">IF(OR(M17=0,O17="",Calculator!$B$54=0),0,IF(Calculator!$B$54&gt;=999,'Sources &amp; Method'!$B$21,MIN('Sources &amp; Method'!$B$21,NORMSDIST((Calculator!$B$54-O17+0.5)/'Sources &amp; Method'!$B$20))))</f>
        <v>0.97</v>
      </c>
      <c r="U17" s="17" t="n">
        <f aca="false">RANK(J17,$J$2:$J$76)</f>
        <v>21</v>
      </c>
    </row>
    <row r="18" customFormat="false" ht="15" hidden="false" customHeight="false" outlineLevel="0" collapsed="false">
      <c r="A18" s="6" t="s">
        <v>102</v>
      </c>
      <c r="B18" s="6" t="s">
        <v>181</v>
      </c>
      <c r="C18" s="6" t="s">
        <v>164</v>
      </c>
      <c r="D18" s="20" t="n">
        <v>-6.906659</v>
      </c>
      <c r="E18" s="20" t="n">
        <v>107.672708</v>
      </c>
      <c r="F18" s="21" t="n">
        <f aca="false">2*6371000*ASIN(SQRT(SIN(RADIANS(D18-'Sources &amp; Method'!$B$28)/2)^2+COS(RADIANS('Sources &amp; Method'!$B$28))*COS(RADIANS(D18))*SIN(RADIANS(E18-'Sources &amp; Method'!$B$29)/2)^2))</f>
        <v>3160.78152998381</v>
      </c>
      <c r="G18" s="22" t="n">
        <v>44</v>
      </c>
      <c r="H18" s="22" t="n">
        <v>101</v>
      </c>
      <c r="I18" s="23" t="n">
        <f aca="false">IF(G18=0,0,H18/G18)</f>
        <v>2.29545454545455</v>
      </c>
      <c r="J18" s="24" t="n">
        <v>89.87</v>
      </c>
      <c r="K18" s="24" t="n">
        <v>91.269</v>
      </c>
      <c r="L18" s="24" t="n">
        <v>81.66</v>
      </c>
      <c r="M18" s="22" t="n">
        <v>29</v>
      </c>
      <c r="N18" s="22" t="n">
        <v>46</v>
      </c>
      <c r="O18" s="25" t="n">
        <v>14</v>
      </c>
      <c r="P18" s="26" t="n">
        <f aca="false">MIN(0.6,COUNTIF(INDEX('Report 2023-2025'!$B$2:$D$20,MATCH(A18,'Report 2023-2025'!$A$2:$A$20,0),0),"&gt;80")/4*0.6)</f>
        <v>0.45</v>
      </c>
      <c r="Q18" s="18" t="n">
        <f aca="false">IF(J18&gt;80,NORMSDIST((Calculator!$B$22-J18)/SQRT((0.3*'Sources &amp; Method'!$B$16)^2+'Sources &amp; Method'!$B$17^2)),(1-P18)*NORMSDIST((Calculator!$B$22-(J18+1))/SQRT((0.3*'Sources &amp; Method'!$B$16)^2+'Sources &amp; Method'!$B$18^2))+P18*NORMSDIST((Calculator!$B$22-85)/SQRT((0.3*'Sources &amp; Method'!$B$16)^2+2.5^2)))</f>
        <v>0.439117465263713</v>
      </c>
      <c r="R18" s="18" t="n">
        <f aca="false">IF(J18&gt;80,NORMSDIST((Calculator!$B$51-J18)/SQRT((0.3*'Sources &amp; Method'!$B$16)^2+'Sources &amp; Method'!$B$17^2)),(1-P18)*NORMSDIST((Calculator!$B$51-(J18+1))/SQRT((0.3*'Sources &amp; Method'!$B$16)^2+'Sources &amp; Method'!$B$18^2))+P18*NORMSDIST((Calculator!$B$51-85)/SQRT((0.3*'Sources &amp; Method'!$B$16)^2+2.5^2)))</f>
        <v>6.45461962150462E-057</v>
      </c>
      <c r="S18" s="18" t="n">
        <f aca="false">IF(OR(M18=0,O18="",Calculator!$B$25=0),0,IF(Calculator!$B$25&gt;=999,'Sources &amp; Method'!$B$21,MIN('Sources &amp; Method'!$B$21,NORMSDIST((Calculator!$B$25-O18+0.5)/'Sources &amp; Method'!$B$20))))</f>
        <v>0</v>
      </c>
      <c r="T18" s="18" t="n">
        <f aca="false">IF(OR(M18=0,O18="",Calculator!$B$54=0),0,IF(Calculator!$B$54&gt;=999,'Sources &amp; Method'!$B$21,MIN('Sources &amp; Method'!$B$21,NORMSDIST((Calculator!$B$54-O18+0.5)/'Sources &amp; Method'!$B$20))))</f>
        <v>0.97</v>
      </c>
      <c r="U18" s="17" t="n">
        <f aca="false">RANK(J18,$J$2:$J$76)</f>
        <v>9</v>
      </c>
    </row>
    <row r="19" customFormat="false" ht="15" hidden="false" customHeight="false" outlineLevel="0" collapsed="false">
      <c r="A19" s="6" t="s">
        <v>182</v>
      </c>
      <c r="B19" s="6" t="s">
        <v>183</v>
      </c>
      <c r="C19" s="6" t="s">
        <v>164</v>
      </c>
      <c r="D19" s="20" t="n">
        <v>-6.951869</v>
      </c>
      <c r="E19" s="20" t="n">
        <v>107.641691</v>
      </c>
      <c r="F19" s="21" t="n">
        <f aca="false">2*6371000*ASIN(SQRT(SIN(RADIANS(D19-'Sources &amp; Method'!$B$28)/2)^2+COS(RADIANS('Sources &amp; Method'!$B$28))*COS(RADIANS(D19))*SIN(RADIANS(E19-'Sources &amp; Method'!$B$29)/2)^2))</f>
        <v>7767.97505659725</v>
      </c>
      <c r="G19" s="22" t="n">
        <v>48</v>
      </c>
      <c r="H19" s="22" t="n">
        <v>49</v>
      </c>
      <c r="I19" s="23" t="n">
        <f aca="false">IF(G19=0,0,H19/G19)</f>
        <v>1.02083333333333</v>
      </c>
      <c r="J19" s="24" t="n">
        <v>85.59</v>
      </c>
      <c r="K19" s="24" t="n">
        <v>87.926</v>
      </c>
      <c r="L19" s="24" t="n">
        <v>73.34</v>
      </c>
      <c r="M19" s="22" t="n">
        <v>32</v>
      </c>
      <c r="N19" s="22" t="n">
        <v>22</v>
      </c>
      <c r="O19" s="25" t="n">
        <v>10</v>
      </c>
      <c r="P19" s="26" t="n">
        <f aca="false">MIN(0.6,COUNTIF(INDEX('Report 2023-2025'!$B$2:$D$20,MATCH(A19,'Report 2023-2025'!$A$2:$A$20,0),0),"&gt;80")/4*0.6)</f>
        <v>0.45</v>
      </c>
      <c r="Q19" s="18" t="n">
        <f aca="false">IF(J19&gt;80,NORMSDIST((Calculator!$B$22-J19)/SQRT((0.3*'Sources &amp; Method'!$B$16)^2+'Sources &amp; Method'!$B$17^2)),(1-P19)*NORMSDIST((Calculator!$B$22-(J19+1))/SQRT((0.3*'Sources &amp; Method'!$B$16)^2+'Sources &amp; Method'!$B$18^2))+P19*NORMSDIST((Calculator!$B$22-85)/SQRT((0.3*'Sources &amp; Method'!$B$16)^2+2.5^2)))</f>
        <v>0.918375938907369</v>
      </c>
      <c r="R19" s="18" t="n">
        <f aca="false">IF(J19&gt;80,NORMSDIST((Calculator!$B$51-J19)/SQRT((0.3*'Sources &amp; Method'!$B$16)^2+'Sources &amp; Method'!$B$17^2)),(1-P19)*NORMSDIST((Calculator!$B$51-(J19+1))/SQRT((0.3*'Sources &amp; Method'!$B$16)^2+'Sources &amp; Method'!$B$18^2))+P19*NORMSDIST((Calculator!$B$51-85)/SQRT((0.3*'Sources &amp; Method'!$B$16)^2+2.5^2)))</f>
        <v>9.76340069901029E-047</v>
      </c>
      <c r="S19" s="18" t="n">
        <f aca="false">IF(OR(M19=0,O19="",Calculator!$B$25=0),0,IF(Calculator!$B$25&gt;=999,'Sources &amp; Method'!$B$21,MIN('Sources &amp; Method'!$B$21,NORMSDIST((Calculator!$B$25-O19+0.5)/'Sources &amp; Method'!$B$20))))</f>
        <v>0</v>
      </c>
      <c r="T19" s="18" t="n">
        <f aca="false">IF(OR(M19=0,O19="",Calculator!$B$54=0),0,IF(Calculator!$B$54&gt;=999,'Sources &amp; Method'!$B$21,MIN('Sources &amp; Method'!$B$21,NORMSDIST((Calculator!$B$54-O19+0.5)/'Sources &amp; Method'!$B$20))))</f>
        <v>0.97</v>
      </c>
      <c r="U19" s="17" t="n">
        <f aca="false">RANK(J19,$J$2:$J$76)</f>
        <v>27</v>
      </c>
    </row>
    <row r="20" customFormat="false" ht="15" hidden="false" customHeight="false" outlineLevel="0" collapsed="false">
      <c r="A20" s="6" t="s">
        <v>184</v>
      </c>
      <c r="B20" s="6" t="s">
        <v>185</v>
      </c>
      <c r="C20" s="6" t="s">
        <v>151</v>
      </c>
      <c r="D20" s="20" t="n">
        <v>-6.886426</v>
      </c>
      <c r="E20" s="20" t="n">
        <v>107.622063</v>
      </c>
      <c r="F20" s="21" t="n">
        <f aca="false">2*6371000*ASIN(SQRT(SIN(RADIANS(D20-'Sources &amp; Method'!$B$28)/2)^2+COS(RADIANS('Sources &amp; Method'!$B$28))*COS(RADIANS(D20))*SIN(RADIANS(E20-'Sources &amp; Method'!$B$29)/2)^2))</f>
        <v>9167.0550625645</v>
      </c>
      <c r="G20" s="22" t="n">
        <v>39</v>
      </c>
      <c r="H20" s="22" t="n">
        <v>39</v>
      </c>
      <c r="I20" s="23" t="n">
        <f aca="false">IF(G20=0,0,H20/G20)</f>
        <v>1</v>
      </c>
      <c r="J20" s="24" t="n">
        <v>81.761</v>
      </c>
      <c r="K20" s="24" t="n">
        <v>86.094</v>
      </c>
      <c r="L20" s="24" t="n">
        <v>68.34</v>
      </c>
      <c r="M20" s="22" t="n">
        <v>26</v>
      </c>
      <c r="N20" s="22" t="n">
        <v>23</v>
      </c>
      <c r="O20" s="25" t="n">
        <v>8</v>
      </c>
      <c r="P20" s="26" t="n">
        <f aca="false">'Sources &amp; Method'!$B$19</f>
        <v>0.3</v>
      </c>
      <c r="Q20" s="18" t="n">
        <f aca="false">IF(J20&gt;80,NORMSDIST((Calculator!$B$22-J20)/SQRT((0.3*'Sources &amp; Method'!$B$16)^2+'Sources &amp; Method'!$B$17^2)),(1-P20)*NORMSDIST((Calculator!$B$22-(J20+1))/SQRT((0.3*'Sources &amp; Method'!$B$16)^2+'Sources &amp; Method'!$B$18^2))+P20*NORMSDIST((Calculator!$B$22-85)/SQRT((0.3*'Sources &amp; Method'!$B$16)^2+2.5^2)))</f>
        <v>0.997270381915451</v>
      </c>
      <c r="R20" s="18" t="n">
        <f aca="false">IF(J20&gt;80,NORMSDIST((Calculator!$B$51-J20)/SQRT((0.3*'Sources &amp; Method'!$B$16)^2+'Sources &amp; Method'!$B$17^2)),(1-P20)*NORMSDIST((Calculator!$B$51-(J20+1))/SQRT((0.3*'Sources &amp; Method'!$B$16)^2+'Sources &amp; Method'!$B$18^2))+P20*NORMSDIST((Calculator!$B$51-85)/SQRT((0.3*'Sources &amp; Method'!$B$16)^2+2.5^2)))</f>
        <v>1.65761512962301E-038</v>
      </c>
      <c r="S20" s="18" t="n">
        <f aca="false">IF(OR(M20=0,O20="",Calculator!$B$25=0),0,IF(Calculator!$B$25&gt;=999,'Sources &amp; Method'!$B$21,MIN('Sources &amp; Method'!$B$21,NORMSDIST((Calculator!$B$25-O20+0.5)/'Sources &amp; Method'!$B$20))))</f>
        <v>0</v>
      </c>
      <c r="T20" s="18" t="n">
        <f aca="false">IF(OR(M20=0,O20="",Calculator!$B$54=0),0,IF(Calculator!$B$54&gt;=999,'Sources &amp; Method'!$B$21,MIN('Sources &amp; Method'!$B$21,NORMSDIST((Calculator!$B$54-O20+0.5)/'Sources &amp; Method'!$B$20))))</f>
        <v>0.97</v>
      </c>
      <c r="U20" s="17" t="n">
        <f aca="false">RANK(J20,$J$2:$J$76)</f>
        <v>33</v>
      </c>
    </row>
    <row r="21" customFormat="false" ht="15" hidden="false" customHeight="false" outlineLevel="0" collapsed="false">
      <c r="A21" s="6" t="s">
        <v>186</v>
      </c>
      <c r="B21" s="6" t="s">
        <v>187</v>
      </c>
      <c r="C21" s="6" t="s">
        <v>154</v>
      </c>
      <c r="D21" s="20" t="n">
        <v>-6.9195</v>
      </c>
      <c r="E21" s="20" t="n">
        <v>107.6261</v>
      </c>
      <c r="F21" s="21" t="n">
        <f aca="false">2*6371000*ASIN(SQRT(SIN(RADIANS(D21-'Sources &amp; Method'!$B$28)/2)^2+COS(RADIANS('Sources &amp; Method'!$B$28))*COS(RADIANS(D21))*SIN(RADIANS(E21-'Sources &amp; Method'!$B$29)/2)^2))</f>
        <v>8239.75281320949</v>
      </c>
      <c r="G21" s="22" t="n">
        <v>57</v>
      </c>
      <c r="H21" s="22" t="n">
        <v>17</v>
      </c>
      <c r="I21" s="23" t="n">
        <f aca="false">IF(G21=0,0,H21/G21)</f>
        <v>0.298245614035088</v>
      </c>
      <c r="J21" s="24" t="n">
        <v>48.201</v>
      </c>
      <c r="K21" s="24" t="n">
        <v>73.845</v>
      </c>
      <c r="L21" s="24" t="n">
        <v>75</v>
      </c>
      <c r="M21" s="22" t="n">
        <v>8</v>
      </c>
      <c r="N21" s="22" t="n">
        <v>6</v>
      </c>
      <c r="O21" s="25" t="n">
        <v>4</v>
      </c>
      <c r="P21" s="26" t="n">
        <f aca="false">'Sources &amp; Method'!$B$19</f>
        <v>0.3</v>
      </c>
      <c r="Q21" s="18" t="n">
        <f aca="false">IF(J21&gt;80,NORMSDIST((Calculator!$B$22-J21)/SQRT((0.3*'Sources &amp; Method'!$B$16)^2+'Sources &amp; Method'!$B$17^2)),(1-P21)*NORMSDIST((Calculator!$B$22-(J21+1))/SQRT((0.3*'Sources &amp; Method'!$B$16)^2+'Sources &amp; Method'!$B$18^2))+P21*NORMSDIST((Calculator!$B$22-85)/SQRT((0.3*'Sources &amp; Method'!$B$16)^2+2.5^2)))</f>
        <v>0.974011137199435</v>
      </c>
      <c r="R21" s="18" t="n">
        <f aca="false">IF(J21&gt;80,NORMSDIST((Calculator!$B$51-J21)/SQRT((0.3*'Sources &amp; Method'!$B$16)^2+'Sources &amp; Method'!$B$17^2)),(1-P21)*NORMSDIST((Calculator!$B$51-(J21+1))/SQRT((0.3*'Sources &amp; Method'!$B$16)^2+'Sources &amp; Method'!$B$18^2))+P21*NORMSDIST((Calculator!$B$51-85)/SQRT((0.3*'Sources &amp; Method'!$B$16)^2+2.5^2)))</f>
        <v>0.13456579177285</v>
      </c>
      <c r="S21" s="18" t="n">
        <f aca="false">IF(OR(M21=0,O21="",Calculator!$B$25=0),0,IF(Calculator!$B$25&gt;=999,'Sources &amp; Method'!$B$21,MIN('Sources &amp; Method'!$B$21,NORMSDIST((Calculator!$B$25-O21+0.5)/'Sources &amp; Method'!$B$20))))</f>
        <v>0</v>
      </c>
      <c r="T21" s="18" t="n">
        <f aca="false">IF(OR(M21=0,O21="",Calculator!$B$54=0),0,IF(Calculator!$B$54&gt;=999,'Sources &amp; Method'!$B$21,MIN('Sources &amp; Method'!$B$21,NORMSDIST((Calculator!$B$54-O21+0.5)/'Sources &amp; Method'!$B$20))))</f>
        <v>0.97</v>
      </c>
      <c r="U21" s="17" t="n">
        <f aca="false">RANK(J21,$J$2:$J$76)</f>
        <v>40</v>
      </c>
    </row>
    <row r="22" customFormat="false" ht="15" hidden="false" customHeight="false" outlineLevel="0" collapsed="false">
      <c r="A22" s="6" t="s">
        <v>188</v>
      </c>
      <c r="B22" s="6" t="s">
        <v>189</v>
      </c>
      <c r="C22" s="6" t="s">
        <v>148</v>
      </c>
      <c r="D22" s="20" t="n">
        <v>-6.945635</v>
      </c>
      <c r="E22" s="20" t="n">
        <v>107.580186</v>
      </c>
      <c r="F22" s="21" t="n">
        <f aca="false">2*6371000*ASIN(SQRT(SIN(RADIANS(D22-'Sources &amp; Method'!$B$28)/2)^2+COS(RADIANS('Sources &amp; Method'!$B$28))*COS(RADIANS(D22))*SIN(RADIANS(E22-'Sources &amp; Method'!$B$29)/2)^2))</f>
        <v>13752.8879461201</v>
      </c>
      <c r="G22" s="22" t="n">
        <v>49</v>
      </c>
      <c r="H22" s="22" t="n">
        <v>41</v>
      </c>
      <c r="I22" s="23" t="n">
        <f aca="false">IF(G22=0,0,H22/G22)</f>
        <v>0.836734693877551</v>
      </c>
      <c r="J22" s="24" t="n">
        <v>47.315</v>
      </c>
      <c r="K22" s="24" t="n">
        <v>80.758</v>
      </c>
      <c r="L22" s="24" t="n">
        <v>75</v>
      </c>
      <c r="M22" s="22" t="n">
        <v>4</v>
      </c>
      <c r="N22" s="22" t="n">
        <v>3</v>
      </c>
      <c r="O22" s="25" t="n">
        <v>8</v>
      </c>
      <c r="P22" s="26" t="n">
        <f aca="false">'Sources &amp; Method'!$B$19</f>
        <v>0.3</v>
      </c>
      <c r="Q22" s="18" t="n">
        <f aca="false">IF(J22&gt;80,NORMSDIST((Calculator!$B$22-J22)/SQRT((0.3*'Sources &amp; Method'!$B$16)^2+'Sources &amp; Method'!$B$17^2)),(1-P22)*NORMSDIST((Calculator!$B$22-(J22+1))/SQRT((0.3*'Sources &amp; Method'!$B$16)^2+'Sources &amp; Method'!$B$18^2))+P22*NORMSDIST((Calculator!$B$22-85)/SQRT((0.3*'Sources &amp; Method'!$B$16)^2+2.5^2)))</f>
        <v>0.974011137199435</v>
      </c>
      <c r="R22" s="18" t="n">
        <f aca="false">IF(J22&gt;80,NORMSDIST((Calculator!$B$51-J22)/SQRT((0.3*'Sources &amp; Method'!$B$16)^2+'Sources &amp; Method'!$B$17^2)),(1-P22)*NORMSDIST((Calculator!$B$51-(J22+1))/SQRT((0.3*'Sources &amp; Method'!$B$16)^2+'Sources &amp; Method'!$B$18^2))+P22*NORMSDIST((Calculator!$B$51-85)/SQRT((0.3*'Sources &amp; Method'!$B$16)^2+2.5^2)))</f>
        <v>0.185561809006371</v>
      </c>
      <c r="S22" s="18" t="n">
        <f aca="false">IF(OR(M22=0,O22="",Calculator!$B$25=0),0,IF(Calculator!$B$25&gt;=999,'Sources &amp; Method'!$B$21,MIN('Sources &amp; Method'!$B$21,NORMSDIST((Calculator!$B$25-O22+0.5)/'Sources &amp; Method'!$B$20))))</f>
        <v>0</v>
      </c>
      <c r="T22" s="18" t="n">
        <f aca="false">IF(OR(M22=0,O22="",Calculator!$B$54=0),0,IF(Calculator!$B$54&gt;=999,'Sources &amp; Method'!$B$21,MIN('Sources &amp; Method'!$B$21,NORMSDIST((Calculator!$B$54-O22+0.5)/'Sources &amp; Method'!$B$20))))</f>
        <v>0.97</v>
      </c>
      <c r="U22" s="17" t="n">
        <f aca="false">RANK(J22,$J$2:$J$76)</f>
        <v>43</v>
      </c>
    </row>
    <row r="23" customFormat="false" ht="15" hidden="false" customHeight="false" outlineLevel="0" collapsed="false">
      <c r="A23" s="6" t="s">
        <v>190</v>
      </c>
      <c r="B23" s="6" t="s">
        <v>191</v>
      </c>
      <c r="C23" s="6" t="s">
        <v>151</v>
      </c>
      <c r="D23" s="20" t="n">
        <v>-6.911952</v>
      </c>
      <c r="E23" s="20" t="n">
        <v>107.633858</v>
      </c>
      <c r="F23" s="21" t="n">
        <f aca="false">2*6371000*ASIN(SQRT(SIN(RADIANS(D23-'Sources &amp; Method'!$B$28)/2)^2+COS(RADIANS('Sources &amp; Method'!$B$28))*COS(RADIANS(D23))*SIN(RADIANS(E23-'Sources &amp; Method'!$B$29)/2)^2))</f>
        <v>7358.39798699031</v>
      </c>
      <c r="G23" s="22" t="n">
        <v>34</v>
      </c>
      <c r="H23" s="22" t="n">
        <v>43</v>
      </c>
      <c r="I23" s="23" t="n">
        <f aca="false">IF(G23=0,0,H23/G23)</f>
        <v>1.26470588235294</v>
      </c>
      <c r="J23" s="24" t="n">
        <v>87.666</v>
      </c>
      <c r="K23" s="24" t="n">
        <v>89.265</v>
      </c>
      <c r="L23" s="24" t="n">
        <v>75</v>
      </c>
      <c r="M23" s="22" t="n">
        <v>23</v>
      </c>
      <c r="N23" s="22" t="n">
        <v>20</v>
      </c>
      <c r="O23" s="25" t="n">
        <v>12</v>
      </c>
      <c r="P23" s="26" t="n">
        <f aca="false">'Sources &amp; Method'!$B$19</f>
        <v>0.3</v>
      </c>
      <c r="Q23" s="18" t="n">
        <f aca="false">IF(J23&gt;80,NORMSDIST((Calculator!$B$22-J23)/SQRT((0.3*'Sources &amp; Method'!$B$16)^2+'Sources &amp; Method'!$B$17^2)),(1-P23)*NORMSDIST((Calculator!$B$22-(J23+1))/SQRT((0.3*'Sources &amp; Method'!$B$16)^2+'Sources &amp; Method'!$B$18^2))+P23*NORMSDIST((Calculator!$B$22-85)/SQRT((0.3*'Sources &amp; Method'!$B$16)^2+2.5^2)))</f>
        <v>0.740099032106226</v>
      </c>
      <c r="R23" s="18" t="n">
        <f aca="false">IF(J23&gt;80,NORMSDIST((Calculator!$B$51-J23)/SQRT((0.3*'Sources &amp; Method'!$B$16)^2+'Sources &amp; Method'!$B$17^2)),(1-P23)*NORMSDIST((Calculator!$B$51-(J23+1))/SQRT((0.3*'Sources &amp; Method'!$B$16)^2+'Sources &amp; Method'!$B$18^2))+P23*NORMSDIST((Calculator!$B$51-85)/SQRT((0.3*'Sources &amp; Method'!$B$16)^2+2.5^2)))</f>
        <v>1.51801237731072E-051</v>
      </c>
      <c r="S23" s="18" t="n">
        <f aca="false">IF(OR(M23=0,O23="",Calculator!$B$25=0),0,IF(Calculator!$B$25&gt;=999,'Sources &amp; Method'!$B$21,MIN('Sources &amp; Method'!$B$21,NORMSDIST((Calculator!$B$25-O23+0.5)/'Sources &amp; Method'!$B$20))))</f>
        <v>0</v>
      </c>
      <c r="T23" s="18" t="n">
        <f aca="false">IF(OR(M23=0,O23="",Calculator!$B$54=0),0,IF(Calculator!$B$54&gt;=999,'Sources &amp; Method'!$B$21,MIN('Sources &amp; Method'!$B$21,NORMSDIST((Calculator!$B$54-O23+0.5)/'Sources &amp; Method'!$B$20))))</f>
        <v>0.97</v>
      </c>
      <c r="U23" s="17" t="n">
        <f aca="false">RANK(J23,$J$2:$J$76)</f>
        <v>17</v>
      </c>
    </row>
    <row r="24" customFormat="false" ht="15" hidden="false" customHeight="false" outlineLevel="0" collapsed="false">
      <c r="A24" s="6" t="s">
        <v>192</v>
      </c>
      <c r="B24" s="6" t="s">
        <v>193</v>
      </c>
      <c r="C24" s="6" t="s">
        <v>148</v>
      </c>
      <c r="D24" s="20" t="n">
        <v>-6.914834</v>
      </c>
      <c r="E24" s="20" t="n">
        <v>107.589597</v>
      </c>
      <c r="F24" s="21" t="n">
        <f aca="false">2*6371000*ASIN(SQRT(SIN(RADIANS(D24-'Sources &amp; Method'!$B$28)/2)^2+COS(RADIANS('Sources &amp; Method'!$B$28))*COS(RADIANS(D24))*SIN(RADIANS(E24-'Sources &amp; Method'!$B$29)/2)^2))</f>
        <v>12243.0674709288</v>
      </c>
      <c r="G24" s="22" t="n">
        <v>47</v>
      </c>
      <c r="H24" s="22" t="n">
        <v>42</v>
      </c>
      <c r="I24" s="23" t="n">
        <f aca="false">IF(G24=0,0,H24/G24)</f>
        <v>0.893617021276596</v>
      </c>
      <c r="J24" s="24" t="n">
        <v>45.563</v>
      </c>
      <c r="K24" s="24" t="n">
        <v>74.604</v>
      </c>
      <c r="L24" s="24" t="n">
        <v>70</v>
      </c>
      <c r="M24" s="22" t="n">
        <v>10</v>
      </c>
      <c r="N24" s="22" t="n">
        <v>3</v>
      </c>
      <c r="O24" s="25" t="n">
        <v>8</v>
      </c>
      <c r="P24" s="26" t="n">
        <f aca="false">'Sources &amp; Method'!$B$19</f>
        <v>0.3</v>
      </c>
      <c r="Q24" s="18" t="n">
        <f aca="false">IF(J24&gt;80,NORMSDIST((Calculator!$B$22-J24)/SQRT((0.3*'Sources &amp; Method'!$B$16)^2+'Sources &amp; Method'!$B$17^2)),(1-P24)*NORMSDIST((Calculator!$B$22-(J24+1))/SQRT((0.3*'Sources &amp; Method'!$B$16)^2+'Sources &amp; Method'!$B$18^2))+P24*NORMSDIST((Calculator!$B$22-85)/SQRT((0.3*'Sources &amp; Method'!$B$16)^2+2.5^2)))</f>
        <v>0.974011137199435</v>
      </c>
      <c r="R24" s="18" t="n">
        <f aca="false">IF(J24&gt;80,NORMSDIST((Calculator!$B$51-J24)/SQRT((0.3*'Sources &amp; Method'!$B$16)^2+'Sources &amp; Method'!$B$17^2)),(1-P24)*NORMSDIST((Calculator!$B$51-(J24+1))/SQRT((0.3*'Sources &amp; Method'!$B$16)^2+'Sources &amp; Method'!$B$18^2))+P24*NORMSDIST((Calculator!$B$51-85)/SQRT((0.3*'Sources &amp; Method'!$B$16)^2+2.5^2)))</f>
        <v>0.308459534686836</v>
      </c>
      <c r="S24" s="18" t="n">
        <f aca="false">IF(OR(M24=0,O24="",Calculator!$B$25=0),0,IF(Calculator!$B$25&gt;=999,'Sources &amp; Method'!$B$21,MIN('Sources &amp; Method'!$B$21,NORMSDIST((Calculator!$B$25-O24+0.5)/'Sources &amp; Method'!$B$20))))</f>
        <v>0</v>
      </c>
      <c r="T24" s="18" t="n">
        <f aca="false">IF(OR(M24=0,O24="",Calculator!$B$54=0),0,IF(Calculator!$B$54&gt;=999,'Sources &amp; Method'!$B$21,MIN('Sources &amp; Method'!$B$21,NORMSDIST((Calculator!$B$54-O24+0.5)/'Sources &amp; Method'!$B$20))))</f>
        <v>0.97</v>
      </c>
      <c r="U24" s="17" t="n">
        <f aca="false">RANK(J24,$J$2:$J$76)</f>
        <v>53</v>
      </c>
    </row>
    <row r="25" customFormat="false" ht="15" hidden="false" customHeight="false" outlineLevel="0" collapsed="false">
      <c r="A25" s="6" t="s">
        <v>194</v>
      </c>
      <c r="B25" s="6" t="s">
        <v>195</v>
      </c>
      <c r="C25" s="6" t="s">
        <v>148</v>
      </c>
      <c r="D25" s="20" t="n">
        <v>-6.936421</v>
      </c>
      <c r="E25" s="20" t="n">
        <v>107.586613</v>
      </c>
      <c r="F25" s="21" t="n">
        <f aca="false">2*6371000*ASIN(SQRT(SIN(RADIANS(D25-'Sources &amp; Method'!$B$28)/2)^2+COS(RADIANS('Sources &amp; Method'!$B$28))*COS(RADIANS(D25))*SIN(RADIANS(E25-'Sources &amp; Method'!$B$29)/2)^2))</f>
        <v>12827.03379197</v>
      </c>
      <c r="G25" s="22" t="n">
        <v>53</v>
      </c>
      <c r="H25" s="22" t="n">
        <v>57</v>
      </c>
      <c r="I25" s="23" t="n">
        <f aca="false">IF(G25=0,0,H25/G25)</f>
        <v>1.07547169811321</v>
      </c>
      <c r="J25" s="24" t="n">
        <v>48.499</v>
      </c>
      <c r="K25" s="24" t="n">
        <v>86.229</v>
      </c>
      <c r="L25" s="24" t="n">
        <v>70</v>
      </c>
      <c r="M25" s="22" t="n">
        <v>12</v>
      </c>
      <c r="N25" s="22" t="n">
        <v>8</v>
      </c>
      <c r="O25" s="25" t="n">
        <v>4</v>
      </c>
      <c r="P25" s="26" t="n">
        <f aca="false">'Sources &amp; Method'!$B$19</f>
        <v>0.3</v>
      </c>
      <c r="Q25" s="18" t="n">
        <f aca="false">IF(J25&gt;80,NORMSDIST((Calculator!$B$22-J25)/SQRT((0.3*'Sources &amp; Method'!$B$16)^2+'Sources &amp; Method'!$B$17^2)),(1-P25)*NORMSDIST((Calculator!$B$22-(J25+1))/SQRT((0.3*'Sources &amp; Method'!$B$16)^2+'Sources &amp; Method'!$B$18^2))+P25*NORMSDIST((Calculator!$B$22-85)/SQRT((0.3*'Sources &amp; Method'!$B$16)^2+2.5^2)))</f>
        <v>0.974011137199435</v>
      </c>
      <c r="R25" s="18" t="n">
        <f aca="false">IF(J25&gt;80,NORMSDIST((Calculator!$B$51-J25)/SQRT((0.3*'Sources &amp; Method'!$B$16)^2+'Sources &amp; Method'!$B$17^2)),(1-P25)*NORMSDIST((Calculator!$B$51-(J25+1))/SQRT((0.3*'Sources &amp; Method'!$B$16)^2+'Sources &amp; Method'!$B$18^2))+P25*NORMSDIST((Calculator!$B$51-85)/SQRT((0.3*'Sources &amp; Method'!$B$16)^2+2.5^2)))</f>
        <v>0.119550873221448</v>
      </c>
      <c r="S25" s="18" t="n">
        <f aca="false">IF(OR(M25=0,O25="",Calculator!$B$25=0),0,IF(Calculator!$B$25&gt;=999,'Sources &amp; Method'!$B$21,MIN('Sources &amp; Method'!$B$21,NORMSDIST((Calculator!$B$25-O25+0.5)/'Sources &amp; Method'!$B$20))))</f>
        <v>0</v>
      </c>
      <c r="T25" s="18" t="n">
        <f aca="false">IF(OR(M25=0,O25="",Calculator!$B$54=0),0,IF(Calculator!$B$54&gt;=999,'Sources &amp; Method'!$B$21,MIN('Sources &amp; Method'!$B$21,NORMSDIST((Calculator!$B$54-O25+0.5)/'Sources &amp; Method'!$B$20))))</f>
        <v>0.97</v>
      </c>
      <c r="U25" s="17" t="n">
        <f aca="false">RANK(J25,$J$2:$J$76)</f>
        <v>39</v>
      </c>
    </row>
    <row r="26" customFormat="false" ht="15" hidden="false" customHeight="false" outlineLevel="0" collapsed="false">
      <c r="A26" s="6" t="s">
        <v>196</v>
      </c>
      <c r="B26" s="6" t="s">
        <v>197</v>
      </c>
      <c r="C26" s="6" t="s">
        <v>148</v>
      </c>
      <c r="D26" s="20" t="n">
        <v>-6.925586</v>
      </c>
      <c r="E26" s="20" t="n">
        <v>107.600919</v>
      </c>
      <c r="F26" s="21" t="n">
        <f aca="false">2*6371000*ASIN(SQRT(SIN(RADIANS(D26-'Sources &amp; Method'!$B$28)/2)^2+COS(RADIANS('Sources &amp; Method'!$B$28))*COS(RADIANS(D26))*SIN(RADIANS(E26-'Sources &amp; Method'!$B$29)/2)^2))</f>
        <v>11074.0976846673</v>
      </c>
      <c r="G26" s="22" t="n">
        <v>56</v>
      </c>
      <c r="H26" s="22" t="n">
        <v>74</v>
      </c>
      <c r="I26" s="23" t="n">
        <f aca="false">IF(G26=0,0,H26/G26)</f>
        <v>1.32142857142857</v>
      </c>
      <c r="J26" s="24" t="n">
        <v>85.543</v>
      </c>
      <c r="K26" s="24" t="n">
        <v>87.891</v>
      </c>
      <c r="L26" s="24" t="n">
        <v>73.34</v>
      </c>
      <c r="M26" s="22" t="n">
        <v>17</v>
      </c>
      <c r="N26" s="22" t="n">
        <v>10</v>
      </c>
      <c r="O26" s="25" t="n">
        <v>1</v>
      </c>
      <c r="P26" s="26" t="n">
        <f aca="false">'Sources &amp; Method'!$B$19</f>
        <v>0.3</v>
      </c>
      <c r="Q26" s="18" t="n">
        <f aca="false">IF(J26&gt;80,NORMSDIST((Calculator!$B$22-J26)/SQRT((0.3*'Sources &amp; Method'!$B$16)^2+'Sources &amp; Method'!$B$17^2)),(1-P26)*NORMSDIST((Calculator!$B$22-(J26+1))/SQRT((0.3*'Sources &amp; Method'!$B$16)^2+'Sources &amp; Method'!$B$18^2))+P26*NORMSDIST((Calculator!$B$22-85)/SQRT((0.3*'Sources &amp; Method'!$B$16)^2+2.5^2)))</f>
        <v>0.920910567127233</v>
      </c>
      <c r="R26" s="18" t="n">
        <f aca="false">IF(J26&gt;80,NORMSDIST((Calculator!$B$51-J26)/SQRT((0.3*'Sources &amp; Method'!$B$16)^2+'Sources &amp; Method'!$B$17^2)),(1-P26)*NORMSDIST((Calculator!$B$51-(J26+1))/SQRT((0.3*'Sources &amp; Method'!$B$16)^2+'Sources &amp; Method'!$B$18^2))+P26*NORMSDIST((Calculator!$B$51-85)/SQRT((0.3*'Sources &amp; Method'!$B$16)^2+2.5^2)))</f>
        <v>1.24635233793396E-046</v>
      </c>
      <c r="S26" s="18" t="n">
        <f aca="false">IF(OR(M26=0,O26="",Calculator!$B$25=0),0,IF(Calculator!$B$25&gt;=999,'Sources &amp; Method'!$B$21,MIN('Sources &amp; Method'!$B$21,NORMSDIST((Calculator!$B$25-O26+0.5)/'Sources &amp; Method'!$B$20))))</f>
        <v>0</v>
      </c>
      <c r="T26" s="18" t="n">
        <f aca="false">IF(OR(M26=0,O26="",Calculator!$B$54=0),0,IF(Calculator!$B$54&gt;=999,'Sources &amp; Method'!$B$21,MIN('Sources &amp; Method'!$B$21,NORMSDIST((Calculator!$B$54-O26+0.5)/'Sources &amp; Method'!$B$20))))</f>
        <v>0.97</v>
      </c>
      <c r="U26" s="17" t="n">
        <f aca="false">RANK(J26,$J$2:$J$76)</f>
        <v>28</v>
      </c>
    </row>
    <row r="27" customFormat="false" ht="15" hidden="false" customHeight="false" outlineLevel="0" collapsed="false">
      <c r="A27" s="6" t="s">
        <v>198</v>
      </c>
      <c r="B27" s="6" t="s">
        <v>199</v>
      </c>
      <c r="C27" s="6" t="s">
        <v>151</v>
      </c>
      <c r="D27" s="20" t="n">
        <v>-6.882663</v>
      </c>
      <c r="E27" s="20" t="n">
        <v>107.577456</v>
      </c>
      <c r="F27" s="21" t="n">
        <f aca="false">2*6371000*ASIN(SQRT(SIN(RADIANS(D27-'Sources &amp; Method'!$B$28)/2)^2+COS(RADIANS('Sources &amp; Method'!$B$28))*COS(RADIANS(D27))*SIN(RADIANS(E27-'Sources &amp; Method'!$B$29)/2)^2))</f>
        <v>14008.9527351448</v>
      </c>
      <c r="G27" s="22" t="n">
        <v>55</v>
      </c>
      <c r="H27" s="22" t="n">
        <v>52</v>
      </c>
      <c r="I27" s="23" t="n">
        <f aca="false">IF(G27=0,0,H27/G27)</f>
        <v>0.945454545454545</v>
      </c>
      <c r="J27" s="24" t="n">
        <v>48.569</v>
      </c>
      <c r="K27" s="24" t="n">
        <v>85.98</v>
      </c>
      <c r="L27" s="24" t="n">
        <v>75</v>
      </c>
      <c r="M27" s="22" t="n">
        <v>10</v>
      </c>
      <c r="N27" s="22" t="n">
        <v>8</v>
      </c>
      <c r="O27" s="25" t="n">
        <v>10</v>
      </c>
      <c r="P27" s="26" t="n">
        <f aca="false">'Sources &amp; Method'!$B$19</f>
        <v>0.3</v>
      </c>
      <c r="Q27" s="18" t="n">
        <f aca="false">IF(J27&gt;80,NORMSDIST((Calculator!$B$22-J27)/SQRT((0.3*'Sources &amp; Method'!$B$16)^2+'Sources &amp; Method'!$B$17^2)),(1-P27)*NORMSDIST((Calculator!$B$22-(J27+1))/SQRT((0.3*'Sources &amp; Method'!$B$16)^2+'Sources &amp; Method'!$B$18^2))+P27*NORMSDIST((Calculator!$B$22-85)/SQRT((0.3*'Sources &amp; Method'!$B$16)^2+2.5^2)))</f>
        <v>0.974011137199435</v>
      </c>
      <c r="R27" s="18" t="n">
        <f aca="false">IF(J27&gt;80,NORMSDIST((Calculator!$B$51-J27)/SQRT((0.3*'Sources &amp; Method'!$B$16)^2+'Sources &amp; Method'!$B$17^2)),(1-P27)*NORMSDIST((Calculator!$B$51-(J27+1))/SQRT((0.3*'Sources &amp; Method'!$B$16)^2+'Sources &amp; Method'!$B$18^2))+P27*NORMSDIST((Calculator!$B$51-85)/SQRT((0.3*'Sources &amp; Method'!$B$16)^2+2.5^2)))</f>
        <v>0.116185674349435</v>
      </c>
      <c r="S27" s="18" t="n">
        <f aca="false">IF(OR(M27=0,O27="",Calculator!$B$25=0),0,IF(Calculator!$B$25&gt;=999,'Sources &amp; Method'!$B$21,MIN('Sources &amp; Method'!$B$21,NORMSDIST((Calculator!$B$25-O27+0.5)/'Sources &amp; Method'!$B$20))))</f>
        <v>0</v>
      </c>
      <c r="T27" s="18" t="n">
        <f aca="false">IF(OR(M27=0,O27="",Calculator!$B$54=0),0,IF(Calculator!$B$54&gt;=999,'Sources &amp; Method'!$B$21,MIN('Sources &amp; Method'!$B$21,NORMSDIST((Calculator!$B$54-O27+0.5)/'Sources &amp; Method'!$B$20))))</f>
        <v>0.97</v>
      </c>
      <c r="U27" s="17" t="n">
        <f aca="false">RANK(J27,$J$2:$J$76)</f>
        <v>38</v>
      </c>
    </row>
    <row r="28" customFormat="false" ht="15" hidden="false" customHeight="false" outlineLevel="0" collapsed="false">
      <c r="A28" s="6" t="s">
        <v>200</v>
      </c>
      <c r="B28" s="6" t="s">
        <v>201</v>
      </c>
      <c r="C28" s="6" t="s">
        <v>151</v>
      </c>
      <c r="D28" s="20" t="n">
        <v>-6.905408</v>
      </c>
      <c r="E28" s="20" t="n">
        <v>107.634765</v>
      </c>
      <c r="F28" s="21" t="n">
        <f aca="false">2*6371000*ASIN(SQRT(SIN(RADIANS(D28-'Sources &amp; Method'!$B$28)/2)^2+COS(RADIANS('Sources &amp; Method'!$B$28))*COS(RADIANS(D28))*SIN(RADIANS(E28-'Sources &amp; Method'!$B$29)/2)^2))</f>
        <v>7311.88854414999</v>
      </c>
      <c r="G28" s="22" t="n">
        <v>34</v>
      </c>
      <c r="H28" s="22" t="n">
        <v>31</v>
      </c>
      <c r="I28" s="23" t="n">
        <f aca="false">IF(G28=0,0,H28/G28)</f>
        <v>0.911764705882353</v>
      </c>
      <c r="J28" s="24" t="n">
        <v>85.718</v>
      </c>
      <c r="K28" s="24" t="n">
        <v>88.086</v>
      </c>
      <c r="L28" s="24" t="n">
        <v>73.33</v>
      </c>
      <c r="M28" s="22" t="n">
        <v>23</v>
      </c>
      <c r="N28" s="22" t="n">
        <v>18</v>
      </c>
      <c r="O28" s="25" t="n">
        <v>11</v>
      </c>
      <c r="P28" s="26" t="n">
        <f aca="false">'Sources &amp; Method'!$B$19</f>
        <v>0.3</v>
      </c>
      <c r="Q28" s="18" t="n">
        <f aca="false">IF(J28&gt;80,NORMSDIST((Calculator!$B$22-J28)/SQRT((0.3*'Sources &amp; Method'!$B$16)^2+'Sources &amp; Method'!$B$17^2)),(1-P28)*NORMSDIST((Calculator!$B$22-(J28+1))/SQRT((0.3*'Sources &amp; Method'!$B$16)^2+'Sources &amp; Method'!$B$18^2))+P28*NORMSDIST((Calculator!$B$22-85)/SQRT((0.3*'Sources &amp; Method'!$B$16)^2+2.5^2)))</f>
        <v>0.911163030108609</v>
      </c>
      <c r="R28" s="18" t="n">
        <f aca="false">IF(J28&gt;80,NORMSDIST((Calculator!$B$51-J28)/SQRT((0.3*'Sources &amp; Method'!$B$16)^2+'Sources &amp; Method'!$B$17^2)),(1-P28)*NORMSDIST((Calculator!$B$51-(J28+1))/SQRT((0.3*'Sources &amp; Method'!$B$16)^2+'Sources &amp; Method'!$B$18^2))+P28*NORMSDIST((Calculator!$B$51-85)/SQRT((0.3*'Sources &amp; Method'!$B$16)^2+2.5^2)))</f>
        <v>5.01394165213324E-047</v>
      </c>
      <c r="S28" s="18" t="n">
        <f aca="false">IF(OR(M28=0,O28="",Calculator!$B$25=0),0,IF(Calculator!$B$25&gt;=999,'Sources &amp; Method'!$B$21,MIN('Sources &amp; Method'!$B$21,NORMSDIST((Calculator!$B$25-O28+0.5)/'Sources &amp; Method'!$B$20))))</f>
        <v>0</v>
      </c>
      <c r="T28" s="18" t="n">
        <f aca="false">IF(OR(M28=0,O28="",Calculator!$B$54=0),0,IF(Calculator!$B$54&gt;=999,'Sources &amp; Method'!$B$21,MIN('Sources &amp; Method'!$B$21,NORMSDIST((Calculator!$B$54-O28+0.5)/'Sources &amp; Method'!$B$20))))</f>
        <v>0.97</v>
      </c>
      <c r="U28" s="17" t="n">
        <f aca="false">RANK(J28,$J$2:$J$76)</f>
        <v>25</v>
      </c>
    </row>
    <row r="29" customFormat="false" ht="15" hidden="false" customHeight="false" outlineLevel="0" collapsed="false">
      <c r="A29" s="6" t="s">
        <v>202</v>
      </c>
      <c r="B29" s="6" t="s">
        <v>203</v>
      </c>
      <c r="C29" s="6" t="s">
        <v>154</v>
      </c>
      <c r="D29" s="20" t="n">
        <v>-6.937755</v>
      </c>
      <c r="E29" s="20" t="n">
        <v>107.626114</v>
      </c>
      <c r="F29" s="21" t="n">
        <f aca="false">2*6371000*ASIN(SQRT(SIN(RADIANS(D29-'Sources &amp; Method'!$B$28)/2)^2+COS(RADIANS('Sources &amp; Method'!$B$28))*COS(RADIANS(D29))*SIN(RADIANS(E29-'Sources &amp; Method'!$B$29)/2)^2))</f>
        <v>8642.5926650911</v>
      </c>
      <c r="G29" s="22" t="n">
        <v>39</v>
      </c>
      <c r="H29" s="22" t="n">
        <v>52</v>
      </c>
      <c r="I29" s="23" t="n">
        <f aca="false">IF(G29=0,0,H29/G29)</f>
        <v>1.33333333333333</v>
      </c>
      <c r="J29" s="24" t="n">
        <v>89.649</v>
      </c>
      <c r="K29" s="24" t="n">
        <v>90.875</v>
      </c>
      <c r="L29" s="24" t="n">
        <v>80</v>
      </c>
      <c r="M29" s="22" t="n">
        <v>26</v>
      </c>
      <c r="N29" s="22" t="n">
        <v>38</v>
      </c>
      <c r="O29" s="25" t="n">
        <v>14</v>
      </c>
      <c r="P29" s="26" t="n">
        <f aca="false">'Sources &amp; Method'!$B$19</f>
        <v>0.3</v>
      </c>
      <c r="Q29" s="18" t="n">
        <f aca="false">IF(J29&gt;80,NORMSDIST((Calculator!$B$22-J29)/SQRT((0.3*'Sources &amp; Method'!$B$16)^2+'Sources &amp; Method'!$B$17^2)),(1-P29)*NORMSDIST((Calculator!$B$22-(J29+1))/SQRT((0.3*'Sources &amp; Method'!$B$16)^2+'Sources &amp; Method'!$B$18^2))+P29*NORMSDIST((Calculator!$B$22-85)/SQRT((0.3*'Sources &amp; Method'!$B$16)^2+2.5^2)))</f>
        <v>0.470781938369182</v>
      </c>
      <c r="R29" s="18" t="n">
        <f aca="false">IF(J29&gt;80,NORMSDIST((Calculator!$B$51-J29)/SQRT((0.3*'Sources &amp; Method'!$B$16)^2+'Sources &amp; Method'!$B$17^2)),(1-P29)*NORMSDIST((Calculator!$B$51-(J29+1))/SQRT((0.3*'Sources &amp; Method'!$B$16)^2+'Sources &amp; Method'!$B$18^2))+P29*NORMSDIST((Calculator!$B$51-85)/SQRT((0.3*'Sources &amp; Method'!$B$16)^2+2.5^2)))</f>
        <v>2.29542381754092E-056</v>
      </c>
      <c r="S29" s="18" t="n">
        <f aca="false">IF(OR(M29=0,O29="",Calculator!$B$25=0),0,IF(Calculator!$B$25&gt;=999,'Sources &amp; Method'!$B$21,MIN('Sources &amp; Method'!$B$21,NORMSDIST((Calculator!$B$25-O29+0.5)/'Sources &amp; Method'!$B$20))))</f>
        <v>0</v>
      </c>
      <c r="T29" s="18" t="n">
        <f aca="false">IF(OR(M29=0,O29="",Calculator!$B$54=0),0,IF(Calculator!$B$54&gt;=999,'Sources &amp; Method'!$B$21,MIN('Sources &amp; Method'!$B$21,NORMSDIST((Calculator!$B$54-O29+0.5)/'Sources &amp; Method'!$B$20))))</f>
        <v>0.97</v>
      </c>
      <c r="U29" s="17" t="n">
        <f aca="false">RANK(J29,$J$2:$J$76)</f>
        <v>11</v>
      </c>
    </row>
    <row r="30" customFormat="false" ht="15" hidden="false" customHeight="false" outlineLevel="0" collapsed="false">
      <c r="A30" s="6" t="s">
        <v>204</v>
      </c>
      <c r="B30" s="6" t="s">
        <v>205</v>
      </c>
      <c r="C30" s="6" t="s">
        <v>151</v>
      </c>
      <c r="D30" s="20" t="n">
        <v>-6.860534</v>
      </c>
      <c r="E30" s="20" t="n">
        <v>107.586035</v>
      </c>
      <c r="F30" s="21" t="n">
        <f aca="false">2*6371000*ASIN(SQRT(SIN(RADIANS(D30-'Sources &amp; Method'!$B$28)/2)^2+COS(RADIANS('Sources &amp; Method'!$B$28))*COS(RADIANS(D30))*SIN(RADIANS(E30-'Sources &amp; Method'!$B$29)/2)^2))</f>
        <v>13941.2175934942</v>
      </c>
      <c r="G30" s="22" t="n">
        <v>49</v>
      </c>
      <c r="H30" s="22" t="n">
        <v>24</v>
      </c>
      <c r="I30" s="23" t="n">
        <f aca="false">IF(G30=0,0,H30/G30)</f>
        <v>0.489795918367347</v>
      </c>
      <c r="J30" s="24" t="n">
        <v>45.667</v>
      </c>
      <c r="K30" s="24" t="n">
        <v>81.506</v>
      </c>
      <c r="L30" s="24" t="n">
        <v>70</v>
      </c>
      <c r="M30" s="22" t="n">
        <v>16</v>
      </c>
      <c r="N30" s="22" t="n">
        <v>16</v>
      </c>
      <c r="O30" s="25" t="n">
        <v>10</v>
      </c>
      <c r="P30" s="26" t="n">
        <f aca="false">'Sources &amp; Method'!$B$19</f>
        <v>0.3</v>
      </c>
      <c r="Q30" s="18" t="n">
        <f aca="false">IF(J30&gt;80,NORMSDIST((Calculator!$B$22-J30)/SQRT((0.3*'Sources &amp; Method'!$B$16)^2+'Sources &amp; Method'!$B$17^2)),(1-P30)*NORMSDIST((Calculator!$B$22-(J30+1))/SQRT((0.3*'Sources &amp; Method'!$B$16)^2+'Sources &amp; Method'!$B$18^2))+P30*NORMSDIST((Calculator!$B$22-85)/SQRT((0.3*'Sources &amp; Method'!$B$16)^2+2.5^2)))</f>
        <v>0.974011137199435</v>
      </c>
      <c r="R30" s="18" t="n">
        <f aca="false">IF(J30&gt;80,NORMSDIST((Calculator!$B$51-J30)/SQRT((0.3*'Sources &amp; Method'!$B$16)^2+'Sources &amp; Method'!$B$17^2)),(1-P30)*NORMSDIST((Calculator!$B$51-(J30+1))/SQRT((0.3*'Sources &amp; Method'!$B$16)^2+'Sources &amp; Method'!$B$18^2))+P30*NORMSDIST((Calculator!$B$51-85)/SQRT((0.3*'Sources &amp; Method'!$B$16)^2+2.5^2)))</f>
        <v>0.300634114626495</v>
      </c>
      <c r="S30" s="18" t="n">
        <f aca="false">IF(OR(M30=0,O30="",Calculator!$B$25=0),0,IF(Calculator!$B$25&gt;=999,'Sources &amp; Method'!$B$21,MIN('Sources &amp; Method'!$B$21,NORMSDIST((Calculator!$B$25-O30+0.5)/'Sources &amp; Method'!$B$20))))</f>
        <v>0</v>
      </c>
      <c r="T30" s="18" t="n">
        <f aca="false">IF(OR(M30=0,O30="",Calculator!$B$54=0),0,IF(Calculator!$B$54&gt;=999,'Sources &amp; Method'!$B$21,MIN('Sources &amp; Method'!$B$21,NORMSDIST((Calculator!$B$54-O30+0.5)/'Sources &amp; Method'!$B$20))))</f>
        <v>0.97</v>
      </c>
      <c r="U30" s="17" t="n">
        <f aca="false">RANK(J30,$J$2:$J$76)</f>
        <v>51</v>
      </c>
    </row>
    <row r="31" customFormat="false" ht="15" hidden="false" customHeight="false" outlineLevel="0" collapsed="false">
      <c r="A31" s="6" t="s">
        <v>206</v>
      </c>
      <c r="B31" s="6" t="s">
        <v>207</v>
      </c>
      <c r="C31" s="6" t="s">
        <v>154</v>
      </c>
      <c r="D31" s="20" t="n">
        <v>-6.940616</v>
      </c>
      <c r="E31" s="20" t="n">
        <v>107.644783</v>
      </c>
      <c r="F31" s="21" t="n">
        <f aca="false">2*6371000*ASIN(SQRT(SIN(RADIANS(D31-'Sources &amp; Method'!$B$28)/2)^2+COS(RADIANS('Sources &amp; Method'!$B$28))*COS(RADIANS(D31))*SIN(RADIANS(E31-'Sources &amp; Method'!$B$29)/2)^2))</f>
        <v>6849.55871305827</v>
      </c>
      <c r="G31" s="22" t="n">
        <v>34</v>
      </c>
      <c r="H31" s="22" t="n">
        <v>61</v>
      </c>
      <c r="I31" s="23" t="n">
        <f aca="false">IF(G31=0,0,H31/G31)</f>
        <v>1.79411764705882</v>
      </c>
      <c r="J31" s="24" t="n">
        <v>89.194</v>
      </c>
      <c r="K31" s="24" t="n">
        <v>90.581</v>
      </c>
      <c r="L31" s="24" t="n">
        <v>78.34</v>
      </c>
      <c r="M31" s="22" t="n">
        <v>23</v>
      </c>
      <c r="N31" s="22" t="n">
        <v>26</v>
      </c>
      <c r="O31" s="25" t="n">
        <v>10</v>
      </c>
      <c r="P31" s="26" t="n">
        <f aca="false">'Sources &amp; Method'!$B$19</f>
        <v>0.3</v>
      </c>
      <c r="Q31" s="18" t="n">
        <f aca="false">IF(J31&gt;80,NORMSDIST((Calculator!$B$22-J31)/SQRT((0.3*'Sources &amp; Method'!$B$16)^2+'Sources &amp; Method'!$B$17^2)),(1-P31)*NORMSDIST((Calculator!$B$22-(J31+1))/SQRT((0.3*'Sources &amp; Method'!$B$16)^2+'Sources &amp; Method'!$B$18^2))+P31*NORMSDIST((Calculator!$B$22-85)/SQRT((0.3*'Sources &amp; Method'!$B$16)^2+2.5^2)))</f>
        <v>0.536333631310709</v>
      </c>
      <c r="R31" s="18" t="n">
        <f aca="false">IF(J31&gt;80,NORMSDIST((Calculator!$B$51-J31)/SQRT((0.3*'Sources &amp; Method'!$B$16)^2+'Sources &amp; Method'!$B$17^2)),(1-P31)*NORMSDIST((Calculator!$B$51-(J31+1))/SQRT((0.3*'Sources &amp; Method'!$B$16)^2+'Sources &amp; Method'!$B$18^2))+P31*NORMSDIST((Calculator!$B$51-85)/SQRT((0.3*'Sources &amp; Method'!$B$16)^2+2.5^2)))</f>
        <v>3.06593043773893E-055</v>
      </c>
      <c r="S31" s="18" t="n">
        <f aca="false">IF(OR(M31=0,O31="",Calculator!$B$25=0),0,IF(Calculator!$B$25&gt;=999,'Sources &amp; Method'!$B$21,MIN('Sources &amp; Method'!$B$21,NORMSDIST((Calculator!$B$25-O31+0.5)/'Sources &amp; Method'!$B$20))))</f>
        <v>0</v>
      </c>
      <c r="T31" s="18" t="n">
        <f aca="false">IF(OR(M31=0,O31="",Calculator!$B$54=0),0,IF(Calculator!$B$54&gt;=999,'Sources &amp; Method'!$B$21,MIN('Sources &amp; Method'!$B$21,NORMSDIST((Calculator!$B$54-O31+0.5)/'Sources &amp; Method'!$B$20))))</f>
        <v>0.97</v>
      </c>
      <c r="U31" s="17" t="n">
        <f aca="false">RANK(J31,$J$2:$J$76)</f>
        <v>13</v>
      </c>
    </row>
    <row r="32" customFormat="false" ht="15" hidden="false" customHeight="false" outlineLevel="0" collapsed="false">
      <c r="A32" s="6" t="s">
        <v>208</v>
      </c>
      <c r="B32" s="6" t="s">
        <v>209</v>
      </c>
      <c r="C32" s="6" t="s">
        <v>154</v>
      </c>
      <c r="D32" s="20" t="n">
        <v>-6.938502</v>
      </c>
      <c r="E32" s="20" t="n">
        <v>107.640544</v>
      </c>
      <c r="F32" s="21" t="n">
        <f aca="false">2*6371000*ASIN(SQRT(SIN(RADIANS(D32-'Sources &amp; Method'!$B$28)/2)^2+COS(RADIANS('Sources &amp; Method'!$B$28))*COS(RADIANS(D32))*SIN(RADIANS(E32-'Sources &amp; Method'!$B$29)/2)^2))</f>
        <v>7178.36236827501</v>
      </c>
      <c r="G32" s="22" t="n">
        <v>56</v>
      </c>
      <c r="H32" s="22" t="n">
        <v>32</v>
      </c>
      <c r="I32" s="23" t="n">
        <f aca="false">IF(G32=0,0,H32/G32)</f>
        <v>0.571428571428571</v>
      </c>
      <c r="J32" s="24" t="n">
        <v>81.426</v>
      </c>
      <c r="K32" s="24" t="n">
        <v>86.503</v>
      </c>
      <c r="L32" s="24" t="n">
        <v>68.33</v>
      </c>
      <c r="M32" s="22" t="n">
        <v>17</v>
      </c>
      <c r="N32" s="22" t="n">
        <v>6</v>
      </c>
      <c r="O32" s="25" t="n">
        <v>4</v>
      </c>
      <c r="P32" s="26" t="n">
        <f aca="false">'Sources &amp; Method'!$B$19</f>
        <v>0.3</v>
      </c>
      <c r="Q32" s="18" t="n">
        <f aca="false">IF(J32&gt;80,NORMSDIST((Calculator!$B$22-J32)/SQRT((0.3*'Sources &amp; Method'!$B$16)^2+'Sources &amp; Method'!$B$17^2)),(1-P32)*NORMSDIST((Calculator!$B$22-(J32+1))/SQRT((0.3*'Sources &amp; Method'!$B$16)^2+'Sources &amp; Method'!$B$18^2))+P32*NORMSDIST((Calculator!$B$22-85)/SQRT((0.3*'Sources &amp; Method'!$B$16)^2+2.5^2)))</f>
        <v>0.998132564036357</v>
      </c>
      <c r="R32" s="18" t="n">
        <f aca="false">IF(J32&gt;80,NORMSDIST((Calculator!$B$51-J32)/SQRT((0.3*'Sources &amp; Method'!$B$16)^2+'Sources &amp; Method'!$B$17^2)),(1-P32)*NORMSDIST((Calculator!$B$51-(J32+1))/SQRT((0.3*'Sources &amp; Method'!$B$16)^2+'Sources &amp; Method'!$B$18^2))+P32*NORMSDIST((Calculator!$B$51-85)/SQRT((0.3*'Sources &amp; Method'!$B$16)^2+2.5^2)))</f>
        <v>7.94580070162091E-038</v>
      </c>
      <c r="S32" s="18" t="n">
        <f aca="false">IF(OR(M32=0,O32="",Calculator!$B$25=0),0,IF(Calculator!$B$25&gt;=999,'Sources &amp; Method'!$B$21,MIN('Sources &amp; Method'!$B$21,NORMSDIST((Calculator!$B$25-O32+0.5)/'Sources &amp; Method'!$B$20))))</f>
        <v>0</v>
      </c>
      <c r="T32" s="18" t="n">
        <f aca="false">IF(OR(M32=0,O32="",Calculator!$B$54=0),0,IF(Calculator!$B$54&gt;=999,'Sources &amp; Method'!$B$21,MIN('Sources &amp; Method'!$B$21,NORMSDIST((Calculator!$B$54-O32+0.5)/'Sources &amp; Method'!$B$20))))</f>
        <v>0.97</v>
      </c>
      <c r="U32" s="17" t="n">
        <f aca="false">RANK(J32,$J$2:$J$76)</f>
        <v>34</v>
      </c>
    </row>
    <row r="33" customFormat="false" ht="15" hidden="false" customHeight="false" outlineLevel="0" collapsed="false">
      <c r="A33" s="6" t="s">
        <v>210</v>
      </c>
      <c r="B33" s="6" t="s">
        <v>211</v>
      </c>
      <c r="C33" s="6" t="s">
        <v>148</v>
      </c>
      <c r="D33" s="20" t="n">
        <v>-6.915946</v>
      </c>
      <c r="E33" s="20" t="n">
        <v>107.590768</v>
      </c>
      <c r="F33" s="21" t="n">
        <f aca="false">2*6371000*ASIN(SQRT(SIN(RADIANS(D33-'Sources &amp; Method'!$B$28)/2)^2+COS(RADIANS('Sources &amp; Method'!$B$28))*COS(RADIANS(D33))*SIN(RADIANS(E33-'Sources &amp; Method'!$B$29)/2)^2))</f>
        <v>12115.945432976</v>
      </c>
      <c r="G33" s="22" t="n">
        <v>56</v>
      </c>
      <c r="H33" s="22" t="n">
        <v>12</v>
      </c>
      <c r="I33" s="23" t="n">
        <f aca="false">IF(G33=0,0,H33/G33)</f>
        <v>0.214285714285714</v>
      </c>
      <c r="J33" s="24" t="n">
        <v>43.1</v>
      </c>
      <c r="K33" s="24" t="n">
        <v>44.591</v>
      </c>
      <c r="L33" s="24" t="n">
        <v>66.66</v>
      </c>
      <c r="M33" s="22" t="n">
        <v>1</v>
      </c>
      <c r="N33" s="22" t="n">
        <v>1</v>
      </c>
      <c r="O33" s="25" t="n">
        <v>6</v>
      </c>
      <c r="P33" s="26" t="n">
        <f aca="false">'Sources &amp; Method'!$B$19</f>
        <v>0.3</v>
      </c>
      <c r="Q33" s="18" t="n">
        <f aca="false">IF(J33&gt;80,NORMSDIST((Calculator!$B$22-J33)/SQRT((0.3*'Sources &amp; Method'!$B$16)^2+'Sources &amp; Method'!$B$17^2)),(1-P33)*NORMSDIST((Calculator!$B$22-(J33+1))/SQRT((0.3*'Sources &amp; Method'!$B$16)^2+'Sources &amp; Method'!$B$18^2))+P33*NORMSDIST((Calculator!$B$22-85)/SQRT((0.3*'Sources &amp; Method'!$B$16)^2+2.5^2)))</f>
        <v>0.974011137199435</v>
      </c>
      <c r="R33" s="18" t="n">
        <f aca="false">IF(J33&gt;80,NORMSDIST((Calculator!$B$51-J33)/SQRT((0.3*'Sources &amp; Method'!$B$16)^2+'Sources &amp; Method'!$B$17^2)),(1-P33)*NORMSDIST((Calculator!$B$51-(J33+1))/SQRT((0.3*'Sources &amp; Method'!$B$16)^2+'Sources &amp; Method'!$B$18^2))+P33*NORMSDIST((Calculator!$B$51-85)/SQRT((0.3*'Sources &amp; Method'!$B$16)^2+2.5^2)))</f>
        <v>0.489728273021325</v>
      </c>
      <c r="S33" s="18" t="n">
        <f aca="false">IF(OR(M33=0,O33="",Calculator!$B$25=0),0,IF(Calculator!$B$25&gt;=999,'Sources &amp; Method'!$B$21,MIN('Sources &amp; Method'!$B$21,NORMSDIST((Calculator!$B$25-O33+0.5)/'Sources &amp; Method'!$B$20))))</f>
        <v>0</v>
      </c>
      <c r="T33" s="18" t="n">
        <f aca="false">IF(OR(M33=0,O33="",Calculator!$B$54=0),0,IF(Calculator!$B$54&gt;=999,'Sources &amp; Method'!$B$21,MIN('Sources &amp; Method'!$B$21,NORMSDIST((Calculator!$B$54-O33+0.5)/'Sources &amp; Method'!$B$20))))</f>
        <v>0.97</v>
      </c>
      <c r="U33" s="17" t="n">
        <f aca="false">RANK(J33,$J$2:$J$76)</f>
        <v>64</v>
      </c>
    </row>
    <row r="34" customFormat="false" ht="15" hidden="false" customHeight="false" outlineLevel="0" collapsed="false">
      <c r="A34" s="6" t="s">
        <v>212</v>
      </c>
      <c r="B34" s="6" t="s">
        <v>213</v>
      </c>
      <c r="C34" s="6" t="s">
        <v>148</v>
      </c>
      <c r="D34" s="20" t="n">
        <v>-6.92831</v>
      </c>
      <c r="E34" s="20" t="n">
        <v>107.59001</v>
      </c>
      <c r="F34" s="21" t="n">
        <f aca="false">2*6371000*ASIN(SQRT(SIN(RADIANS(D34-'Sources &amp; Method'!$B$28)/2)^2+COS(RADIANS('Sources &amp; Method'!$B$28))*COS(RADIANS(D34))*SIN(RADIANS(E34-'Sources &amp; Method'!$B$29)/2)^2))</f>
        <v>12307.080942832</v>
      </c>
      <c r="G34" s="22" t="n">
        <v>72</v>
      </c>
      <c r="H34" s="22" t="n">
        <v>51</v>
      </c>
      <c r="I34" s="23" t="n">
        <f aca="false">IF(G34=0,0,H34/G34)</f>
        <v>0.708333333333333</v>
      </c>
      <c r="J34" s="24" t="n">
        <v>45.074</v>
      </c>
      <c r="K34" s="24" t="n">
        <v>48.065</v>
      </c>
      <c r="L34" s="24" t="n">
        <v>70</v>
      </c>
      <c r="M34" s="22" t="n">
        <v>1</v>
      </c>
      <c r="N34" s="22" t="n">
        <v>1</v>
      </c>
      <c r="O34" s="25" t="n">
        <v>26</v>
      </c>
      <c r="P34" s="26" t="n">
        <f aca="false">'Sources &amp; Method'!$B$19</f>
        <v>0.3</v>
      </c>
      <c r="Q34" s="18" t="n">
        <f aca="false">IF(J34&gt;80,NORMSDIST((Calculator!$B$22-J34)/SQRT((0.3*'Sources &amp; Method'!$B$16)^2+'Sources &amp; Method'!$B$17^2)),(1-P34)*NORMSDIST((Calculator!$B$22-(J34+1))/SQRT((0.3*'Sources &amp; Method'!$B$16)^2+'Sources &amp; Method'!$B$18^2))+P34*NORMSDIST((Calculator!$B$22-85)/SQRT((0.3*'Sources &amp; Method'!$B$16)^2+2.5^2)))</f>
        <v>0.974011137199435</v>
      </c>
      <c r="R34" s="18" t="n">
        <f aca="false">IF(J34&gt;80,NORMSDIST((Calculator!$B$51-J34)/SQRT((0.3*'Sources &amp; Method'!$B$16)^2+'Sources &amp; Method'!$B$17^2)),(1-P34)*NORMSDIST((Calculator!$B$51-(J34+1))/SQRT((0.3*'Sources &amp; Method'!$B$16)^2+'Sources &amp; Method'!$B$18^2))+P34*NORMSDIST((Calculator!$B$51-85)/SQRT((0.3*'Sources &amp; Method'!$B$16)^2+2.5^2)))</f>
        <v>0.345596198811915</v>
      </c>
      <c r="S34" s="18" t="n">
        <f aca="false">IF(OR(M34=0,O34="",Calculator!$B$25=0),0,IF(Calculator!$B$25&gt;=999,'Sources &amp; Method'!$B$21,MIN('Sources &amp; Method'!$B$21,NORMSDIST((Calculator!$B$25-O34+0.5)/'Sources &amp; Method'!$B$20))))</f>
        <v>0</v>
      </c>
      <c r="T34" s="18" t="n">
        <f aca="false">IF(OR(M34=0,O34="",Calculator!$B$54=0),0,IF(Calculator!$B$54&gt;=999,'Sources &amp; Method'!$B$21,MIN('Sources &amp; Method'!$B$21,NORMSDIST((Calculator!$B$54-O34+0.5)/'Sources &amp; Method'!$B$20))))</f>
        <v>0.97</v>
      </c>
      <c r="U34" s="17" t="n">
        <f aca="false">RANK(J34,$J$2:$J$76)</f>
        <v>58</v>
      </c>
    </row>
    <row r="35" customFormat="false" ht="15" hidden="false" customHeight="false" outlineLevel="0" collapsed="false">
      <c r="A35" s="6" t="s">
        <v>214</v>
      </c>
      <c r="B35" s="6" t="s">
        <v>215</v>
      </c>
      <c r="C35" s="6" t="s">
        <v>154</v>
      </c>
      <c r="D35" s="20" t="n">
        <v>-6.950339</v>
      </c>
      <c r="E35" s="20" t="n">
        <v>107.625847</v>
      </c>
      <c r="F35" s="21" t="n">
        <f aca="false">2*6371000*ASIN(SQRT(SIN(RADIANS(D35-'Sources &amp; Method'!$B$28)/2)^2+COS(RADIANS('Sources &amp; Method'!$B$28))*COS(RADIANS(D35))*SIN(RADIANS(E35-'Sources &amp; Method'!$B$29)/2)^2))</f>
        <v>9202.34897409046</v>
      </c>
      <c r="G35" s="22" t="n">
        <v>29</v>
      </c>
      <c r="H35" s="22" t="n">
        <v>45</v>
      </c>
      <c r="I35" s="23" t="n">
        <f aca="false">IF(G35=0,0,H35/G35)</f>
        <v>1.55172413793103</v>
      </c>
      <c r="J35" s="24" t="n">
        <v>89.846</v>
      </c>
      <c r="K35" s="24" t="n">
        <v>91.117</v>
      </c>
      <c r="L35" s="24" t="n">
        <v>81.67</v>
      </c>
      <c r="M35" s="22" t="n">
        <v>20</v>
      </c>
      <c r="N35" s="22" t="n">
        <v>27</v>
      </c>
      <c r="O35" s="25" t="n">
        <v>16</v>
      </c>
      <c r="P35" s="26" t="n">
        <f aca="false">'Sources &amp; Method'!$B$19</f>
        <v>0.3</v>
      </c>
      <c r="Q35" s="18" t="n">
        <f aca="false">IF(J35&gt;80,NORMSDIST((Calculator!$B$22-J35)/SQRT((0.3*'Sources &amp; Method'!$B$16)^2+'Sources &amp; Method'!$B$17^2)),(1-P35)*NORMSDIST((Calculator!$B$22-(J35+1))/SQRT((0.3*'Sources &amp; Method'!$B$16)^2+'Sources &amp; Method'!$B$18^2))+P35*NORMSDIST((Calculator!$B$22-85)/SQRT((0.3*'Sources &amp; Method'!$B$16)^2+2.5^2)))</f>
        <v>0.442541016845304</v>
      </c>
      <c r="R35" s="18" t="n">
        <f aca="false">IF(J35&gt;80,NORMSDIST((Calculator!$B$51-J35)/SQRT((0.3*'Sources &amp; Method'!$B$16)^2+'Sources &amp; Method'!$B$17^2)),(1-P35)*NORMSDIST((Calculator!$B$51-(J35+1))/SQRT((0.3*'Sources &amp; Method'!$B$16)^2+'Sources &amp; Method'!$B$18^2))+P35*NORMSDIST((Calculator!$B$51-85)/SQRT((0.3*'Sources &amp; Method'!$B$16)^2+2.5^2)))</f>
        <v>7.41038200110112E-057</v>
      </c>
      <c r="S35" s="18" t="n">
        <f aca="false">IF(OR(M35=0,O35="",Calculator!$B$25=0),0,IF(Calculator!$B$25&gt;=999,'Sources &amp; Method'!$B$21,MIN('Sources &amp; Method'!$B$21,NORMSDIST((Calculator!$B$25-O35+0.5)/'Sources &amp; Method'!$B$20))))</f>
        <v>0</v>
      </c>
      <c r="T35" s="18" t="n">
        <f aca="false">IF(OR(M35=0,O35="",Calculator!$B$54=0),0,IF(Calculator!$B$54&gt;=999,'Sources &amp; Method'!$B$21,MIN('Sources &amp; Method'!$B$21,NORMSDIST((Calculator!$B$54-O35+0.5)/'Sources &amp; Method'!$B$20))))</f>
        <v>0.97</v>
      </c>
      <c r="U35" s="17" t="n">
        <f aca="false">RANK(J35,$J$2:$J$76)</f>
        <v>10</v>
      </c>
    </row>
    <row r="36" customFormat="false" ht="15" hidden="false" customHeight="false" outlineLevel="0" collapsed="false">
      <c r="A36" s="6" t="s">
        <v>216</v>
      </c>
      <c r="B36" s="6" t="s">
        <v>217</v>
      </c>
      <c r="C36" s="6" t="s">
        <v>151</v>
      </c>
      <c r="D36" s="20" t="n">
        <v>-6.874533</v>
      </c>
      <c r="E36" s="20" t="n">
        <v>107.616908</v>
      </c>
      <c r="F36" s="21" t="n">
        <f aca="false">2*6371000*ASIN(SQRT(SIN(RADIANS(D36-'Sources &amp; Method'!$B$28)/2)^2+COS(RADIANS('Sources &amp; Method'!$B$28))*COS(RADIANS(D36))*SIN(RADIANS(E36-'Sources &amp; Method'!$B$29)/2)^2))</f>
        <v>10194.4415187326</v>
      </c>
      <c r="G36" s="22" t="n">
        <v>44</v>
      </c>
      <c r="H36" s="22" t="n">
        <v>36</v>
      </c>
      <c r="I36" s="23" t="n">
        <f aca="false">IF(G36=0,0,H36/G36)</f>
        <v>0.818181818181818</v>
      </c>
      <c r="J36" s="24" t="n">
        <v>46.775</v>
      </c>
      <c r="K36" s="24" t="n">
        <v>79.384</v>
      </c>
      <c r="L36" s="24" t="n">
        <v>73.33</v>
      </c>
      <c r="M36" s="22" t="n">
        <v>29</v>
      </c>
      <c r="N36" s="22" t="n">
        <v>19</v>
      </c>
      <c r="O36" s="25" t="n">
        <v>2</v>
      </c>
      <c r="P36" s="26" t="n">
        <f aca="false">'Sources &amp; Method'!$B$19</f>
        <v>0.3</v>
      </c>
      <c r="Q36" s="18" t="n">
        <f aca="false">IF(J36&gt;80,NORMSDIST((Calculator!$B$22-J36)/SQRT((0.3*'Sources &amp; Method'!$B$16)^2+'Sources &amp; Method'!$B$17^2)),(1-P36)*NORMSDIST((Calculator!$B$22-(J36+1))/SQRT((0.3*'Sources &amp; Method'!$B$16)^2+'Sources &amp; Method'!$B$18^2))+P36*NORMSDIST((Calculator!$B$22-85)/SQRT((0.3*'Sources &amp; Method'!$B$16)^2+2.5^2)))</f>
        <v>0.974011137199435</v>
      </c>
      <c r="R36" s="18" t="n">
        <f aca="false">IF(J36&gt;80,NORMSDIST((Calculator!$B$51-J36)/SQRT((0.3*'Sources &amp; Method'!$B$16)^2+'Sources &amp; Method'!$B$17^2)),(1-P36)*NORMSDIST((Calculator!$B$51-(J36+1))/SQRT((0.3*'Sources &amp; Method'!$B$16)^2+'Sources &amp; Method'!$B$18^2))+P36*NORMSDIST((Calculator!$B$51-85)/SQRT((0.3*'Sources &amp; Method'!$B$16)^2+2.5^2)))</f>
        <v>0.22086122338378</v>
      </c>
      <c r="S36" s="18" t="n">
        <f aca="false">IF(OR(M36=0,O36="",Calculator!$B$25=0),0,IF(Calculator!$B$25&gt;=999,'Sources &amp; Method'!$B$21,MIN('Sources &amp; Method'!$B$21,NORMSDIST((Calculator!$B$25-O36+0.5)/'Sources &amp; Method'!$B$20))))</f>
        <v>0</v>
      </c>
      <c r="T36" s="18" t="n">
        <f aca="false">IF(OR(M36=0,O36="",Calculator!$B$54=0),0,IF(Calculator!$B$54&gt;=999,'Sources &amp; Method'!$B$21,MIN('Sources &amp; Method'!$B$21,NORMSDIST((Calculator!$B$54-O36+0.5)/'Sources &amp; Method'!$B$20))))</f>
        <v>0.97</v>
      </c>
      <c r="U36" s="17" t="n">
        <f aca="false">RANK(J36,$J$2:$J$76)</f>
        <v>45</v>
      </c>
    </row>
    <row r="37" customFormat="false" ht="15" hidden="false" customHeight="false" outlineLevel="0" collapsed="false">
      <c r="A37" s="6" t="s">
        <v>218</v>
      </c>
      <c r="B37" s="6" t="s">
        <v>219</v>
      </c>
      <c r="C37" s="6" t="s">
        <v>148</v>
      </c>
      <c r="D37" s="20" t="n">
        <v>-6.942248</v>
      </c>
      <c r="E37" s="20" t="n">
        <v>107.574301</v>
      </c>
      <c r="F37" s="21" t="n">
        <f aca="false">2*6371000*ASIN(SQRT(SIN(RADIANS(D37-'Sources &amp; Method'!$B$28)/2)^2+COS(RADIANS('Sources &amp; Method'!$B$28))*COS(RADIANS(D37))*SIN(RADIANS(E37-'Sources &amp; Method'!$B$29)/2)^2))</f>
        <v>14292.2998343645</v>
      </c>
      <c r="G37" s="22" t="n">
        <v>67</v>
      </c>
      <c r="H37" s="22" t="n">
        <v>70</v>
      </c>
      <c r="I37" s="23" t="n">
        <f aca="false">IF(G37=0,0,H37/G37)</f>
        <v>1.04477611940299</v>
      </c>
      <c r="J37" s="24" t="n">
        <v>49.575</v>
      </c>
      <c r="K37" s="24" t="n">
        <v>87.124</v>
      </c>
      <c r="L37" s="24" t="n">
        <v>73.34</v>
      </c>
      <c r="M37" s="22" t="n">
        <v>13</v>
      </c>
      <c r="N37" s="22" t="n">
        <v>10</v>
      </c>
      <c r="O37" s="25" t="n">
        <v>2</v>
      </c>
      <c r="P37" s="26" t="n">
        <f aca="false">'Sources &amp; Method'!$B$19</f>
        <v>0.3</v>
      </c>
      <c r="Q37" s="18" t="n">
        <f aca="false">IF(J37&gt;80,NORMSDIST((Calculator!$B$22-J37)/SQRT((0.3*'Sources &amp; Method'!$B$16)^2+'Sources &amp; Method'!$B$17^2)),(1-P37)*NORMSDIST((Calculator!$B$22-(J37+1))/SQRT((0.3*'Sources &amp; Method'!$B$16)^2+'Sources &amp; Method'!$B$18^2))+P37*NORMSDIST((Calculator!$B$22-85)/SQRT((0.3*'Sources &amp; Method'!$B$16)^2+2.5^2)))</f>
        <v>0.974011137199435</v>
      </c>
      <c r="R37" s="18" t="n">
        <f aca="false">IF(J37&gt;80,NORMSDIST((Calculator!$B$51-J37)/SQRT((0.3*'Sources &amp; Method'!$B$16)^2+'Sources &amp; Method'!$B$17^2)),(1-P37)*NORMSDIST((Calculator!$B$51-(J37+1))/SQRT((0.3*'Sources &amp; Method'!$B$16)^2+'Sources &amp; Method'!$B$18^2))+P37*NORMSDIST((Calculator!$B$51-85)/SQRT((0.3*'Sources &amp; Method'!$B$16)^2+2.5^2)))</f>
        <v>0.0746101146543138</v>
      </c>
      <c r="S37" s="18" t="n">
        <f aca="false">IF(OR(M37=0,O37="",Calculator!$B$25=0),0,IF(Calculator!$B$25&gt;=999,'Sources &amp; Method'!$B$21,MIN('Sources &amp; Method'!$B$21,NORMSDIST((Calculator!$B$25-O37+0.5)/'Sources &amp; Method'!$B$20))))</f>
        <v>0</v>
      </c>
      <c r="T37" s="18" t="n">
        <f aca="false">IF(OR(M37=0,O37="",Calculator!$B$54=0),0,IF(Calculator!$B$54&gt;=999,'Sources &amp; Method'!$B$21,MIN('Sources &amp; Method'!$B$21,NORMSDIST((Calculator!$B$54-O37+0.5)/'Sources &amp; Method'!$B$20))))</f>
        <v>0.97</v>
      </c>
      <c r="U37" s="17" t="n">
        <f aca="false">RANK(J37,$J$2:$J$76)</f>
        <v>36</v>
      </c>
    </row>
    <row r="38" customFormat="false" ht="15" hidden="false" customHeight="false" outlineLevel="0" collapsed="false">
      <c r="A38" s="6" t="s">
        <v>220</v>
      </c>
      <c r="B38" s="6" t="s">
        <v>221</v>
      </c>
      <c r="C38" s="6" t="s">
        <v>154</v>
      </c>
      <c r="D38" s="20" t="n">
        <v>-6.926294</v>
      </c>
      <c r="E38" s="20" t="n">
        <v>107.655812</v>
      </c>
      <c r="F38" s="21" t="n">
        <f aca="false">2*6371000*ASIN(SQRT(SIN(RADIANS(D38-'Sources &amp; Method'!$B$28)/2)^2+COS(RADIANS('Sources &amp; Method'!$B$28))*COS(RADIANS(D38))*SIN(RADIANS(E38-'Sources &amp; Method'!$B$29)/2)^2))</f>
        <v>5133.9258073712</v>
      </c>
      <c r="G38" s="22" t="n">
        <v>55</v>
      </c>
      <c r="H38" s="22" t="n">
        <v>30</v>
      </c>
      <c r="I38" s="23" t="n">
        <f aca="false">IF(G38=0,0,H38/G38)</f>
        <v>0.545454545454545</v>
      </c>
      <c r="J38" s="24" t="n">
        <v>46.627</v>
      </c>
      <c r="K38" s="24" t="n">
        <v>51.904</v>
      </c>
      <c r="L38" s="24" t="n">
        <v>73.33</v>
      </c>
      <c r="M38" s="22" t="n">
        <v>22</v>
      </c>
      <c r="N38" s="22" t="n">
        <v>4</v>
      </c>
      <c r="O38" s="25" t="n">
        <v>4</v>
      </c>
      <c r="P38" s="26" t="n">
        <f aca="false">'Sources &amp; Method'!$B$19</f>
        <v>0.3</v>
      </c>
      <c r="Q38" s="18" t="n">
        <f aca="false">IF(J38&gt;80,NORMSDIST((Calculator!$B$22-J38)/SQRT((0.3*'Sources &amp; Method'!$B$16)^2+'Sources &amp; Method'!$B$17^2)),(1-P38)*NORMSDIST((Calculator!$B$22-(J38+1))/SQRT((0.3*'Sources &amp; Method'!$B$16)^2+'Sources &amp; Method'!$B$18^2))+P38*NORMSDIST((Calculator!$B$22-85)/SQRT((0.3*'Sources &amp; Method'!$B$16)^2+2.5^2)))</f>
        <v>0.974011137199435</v>
      </c>
      <c r="R38" s="18" t="n">
        <f aca="false">IF(J38&gt;80,NORMSDIST((Calculator!$B$51-J38)/SQRT((0.3*'Sources &amp; Method'!$B$16)^2+'Sources &amp; Method'!$B$17^2)),(1-P38)*NORMSDIST((Calculator!$B$51-(J38+1))/SQRT((0.3*'Sources &amp; Method'!$B$16)^2+'Sources &amp; Method'!$B$18^2))+P38*NORMSDIST((Calculator!$B$51-85)/SQRT((0.3*'Sources &amp; Method'!$B$16)^2+2.5^2)))</f>
        <v>0.231013662431223</v>
      </c>
      <c r="S38" s="18" t="n">
        <f aca="false">IF(OR(M38=0,O38="",Calculator!$B$25=0),0,IF(Calculator!$B$25&gt;=999,'Sources &amp; Method'!$B$21,MIN('Sources &amp; Method'!$B$21,NORMSDIST((Calculator!$B$25-O38+0.5)/'Sources &amp; Method'!$B$20))))</f>
        <v>0</v>
      </c>
      <c r="T38" s="18" t="n">
        <f aca="false">IF(OR(M38=0,O38="",Calculator!$B$54=0),0,IF(Calculator!$B$54&gt;=999,'Sources &amp; Method'!$B$21,MIN('Sources &amp; Method'!$B$21,NORMSDIST((Calculator!$B$54-O38+0.5)/'Sources &amp; Method'!$B$20))))</f>
        <v>0.97</v>
      </c>
      <c r="U38" s="17" t="n">
        <f aca="false">RANK(J38,$J$2:$J$76)</f>
        <v>46</v>
      </c>
    </row>
    <row r="39" customFormat="false" ht="15" hidden="false" customHeight="false" outlineLevel="0" collapsed="false">
      <c r="A39" s="6" t="s">
        <v>222</v>
      </c>
      <c r="B39" s="6" t="s">
        <v>223</v>
      </c>
      <c r="C39" s="6" t="s">
        <v>148</v>
      </c>
      <c r="D39" s="20" t="n">
        <v>-6.957551</v>
      </c>
      <c r="E39" s="20" t="n">
        <v>107.591336</v>
      </c>
      <c r="F39" s="21" t="n">
        <f aca="false">2*6371000*ASIN(SQRT(SIN(RADIANS(D39-'Sources &amp; Method'!$B$28)/2)^2+COS(RADIANS('Sources &amp; Method'!$B$28))*COS(RADIANS(D39))*SIN(RADIANS(E39-'Sources &amp; Method'!$B$29)/2)^2))</f>
        <v>13007.1967358293</v>
      </c>
      <c r="G39" s="22" t="n">
        <v>64</v>
      </c>
      <c r="H39" s="22" t="n">
        <v>50</v>
      </c>
      <c r="I39" s="23" t="n">
        <f aca="false">IF(G39=0,0,H39/G39)</f>
        <v>0.78125</v>
      </c>
      <c r="J39" s="24" t="n">
        <v>50.333</v>
      </c>
      <c r="K39" s="24" t="n">
        <v>84.842</v>
      </c>
      <c r="L39" s="24" t="n">
        <v>68.34</v>
      </c>
      <c r="M39" s="22" t="n">
        <v>16</v>
      </c>
      <c r="N39" s="22" t="n">
        <v>12</v>
      </c>
      <c r="O39" s="25" t="n">
        <v>4</v>
      </c>
      <c r="P39" s="26" t="n">
        <f aca="false">'Sources &amp; Method'!$B$19</f>
        <v>0.3</v>
      </c>
      <c r="Q39" s="18" t="n">
        <f aca="false">IF(J39&gt;80,NORMSDIST((Calculator!$B$22-J39)/SQRT((0.3*'Sources &amp; Method'!$B$16)^2+'Sources &amp; Method'!$B$17^2)),(1-P39)*NORMSDIST((Calculator!$B$22-(J39+1))/SQRT((0.3*'Sources &amp; Method'!$B$16)^2+'Sources &amp; Method'!$B$18^2))+P39*NORMSDIST((Calculator!$B$22-85)/SQRT((0.3*'Sources &amp; Method'!$B$16)^2+2.5^2)))</f>
        <v>0.974011137199435</v>
      </c>
      <c r="R39" s="18" t="n">
        <f aca="false">IF(J39&gt;80,NORMSDIST((Calculator!$B$51-J39)/SQRT((0.3*'Sources &amp; Method'!$B$16)^2+'Sources &amp; Method'!$B$17^2)),(1-P39)*NORMSDIST((Calculator!$B$51-(J39+1))/SQRT((0.3*'Sources &amp; Method'!$B$16)^2+'Sources &amp; Method'!$B$18^2))+P39*NORMSDIST((Calculator!$B$51-85)/SQRT((0.3*'Sources &amp; Method'!$B$16)^2+2.5^2)))</f>
        <v>0.0512868740149253</v>
      </c>
      <c r="S39" s="18" t="n">
        <f aca="false">IF(OR(M39=0,O39="",Calculator!$B$25=0),0,IF(Calculator!$B$25&gt;=999,'Sources &amp; Method'!$B$21,MIN('Sources &amp; Method'!$B$21,NORMSDIST((Calculator!$B$25-O39+0.5)/'Sources &amp; Method'!$B$20))))</f>
        <v>0</v>
      </c>
      <c r="T39" s="18" t="n">
        <f aca="false">IF(OR(M39=0,O39="",Calculator!$B$54=0),0,IF(Calculator!$B$54&gt;=999,'Sources &amp; Method'!$B$21,MIN('Sources &amp; Method'!$B$21,NORMSDIST((Calculator!$B$54-O39+0.5)/'Sources &amp; Method'!$B$20))))</f>
        <v>0.97</v>
      </c>
      <c r="U39" s="17" t="n">
        <f aca="false">RANK(J39,$J$2:$J$76)</f>
        <v>35</v>
      </c>
    </row>
    <row r="40" customFormat="false" ht="15" hidden="false" customHeight="false" outlineLevel="0" collapsed="false">
      <c r="A40" s="6" t="s">
        <v>224</v>
      </c>
      <c r="B40" s="6" t="s">
        <v>225</v>
      </c>
      <c r="C40" s="6" t="s">
        <v>148</v>
      </c>
      <c r="D40" s="20" t="n">
        <v>-6.942388</v>
      </c>
      <c r="E40" s="20" t="n">
        <v>107.56873</v>
      </c>
      <c r="F40" s="21" t="n">
        <f aca="false">2*6371000*ASIN(SQRT(SIN(RADIANS(D40-'Sources &amp; Method'!$B$28)/2)^2+COS(RADIANS('Sources &amp; Method'!$B$28))*COS(RADIANS(D40))*SIN(RADIANS(E40-'Sources &amp; Method'!$B$29)/2)^2))</f>
        <v>14895.647805809</v>
      </c>
      <c r="G40" s="22" t="n">
        <v>49</v>
      </c>
      <c r="H40" s="22" t="n">
        <v>78</v>
      </c>
      <c r="I40" s="23" t="n">
        <f aca="false">IF(G40=0,0,H40/G40)</f>
        <v>1.59183673469388</v>
      </c>
      <c r="J40" s="24" t="n">
        <v>82.881</v>
      </c>
      <c r="K40" s="24" t="n">
        <v>86.422</v>
      </c>
      <c r="L40" s="24" t="n">
        <v>70</v>
      </c>
      <c r="M40" s="22" t="n">
        <v>16</v>
      </c>
      <c r="N40" s="22" t="n">
        <v>15</v>
      </c>
      <c r="O40" s="25" t="n">
        <v>4</v>
      </c>
      <c r="P40" s="26" t="n">
        <f aca="false">'Sources &amp; Method'!$B$19</f>
        <v>0.3</v>
      </c>
      <c r="Q40" s="18" t="n">
        <f aca="false">IF(J40&gt;80,NORMSDIST((Calculator!$B$22-J40)/SQRT((0.3*'Sources &amp; Method'!$B$16)^2+'Sources &amp; Method'!$B$17^2)),(1-P40)*NORMSDIST((Calculator!$B$22-(J40+1))/SQRT((0.3*'Sources &amp; Method'!$B$16)^2+'Sources &amp; Method'!$B$18^2))+P40*NORMSDIST((Calculator!$B$22-85)/SQRT((0.3*'Sources &amp; Method'!$B$16)^2+2.5^2)))</f>
        <v>0.991193885650702</v>
      </c>
      <c r="R40" s="18" t="n">
        <f aca="false">IF(J40&gt;80,NORMSDIST((Calculator!$B$51-J40)/SQRT((0.3*'Sources &amp; Method'!$B$16)^2+'Sources &amp; Method'!$B$17^2)),(1-P40)*NORMSDIST((Calculator!$B$51-(J40+1))/SQRT((0.3*'Sources &amp; Method'!$B$16)^2+'Sources &amp; Method'!$B$18^2))+P40*NORMSDIST((Calculator!$B$51-85)/SQRT((0.3*'Sources &amp; Method'!$B$16)^2+2.5^2)))</f>
        <v>7.90444965030736E-041</v>
      </c>
      <c r="S40" s="18" t="n">
        <f aca="false">IF(OR(M40=0,O40="",Calculator!$B$25=0),0,IF(Calculator!$B$25&gt;=999,'Sources &amp; Method'!$B$21,MIN('Sources &amp; Method'!$B$21,NORMSDIST((Calculator!$B$25-O40+0.5)/'Sources &amp; Method'!$B$20))))</f>
        <v>0</v>
      </c>
      <c r="T40" s="18" t="n">
        <f aca="false">IF(OR(M40=0,O40="",Calculator!$B$54=0),0,IF(Calculator!$B$54&gt;=999,'Sources &amp; Method'!$B$21,MIN('Sources &amp; Method'!$B$21,NORMSDIST((Calculator!$B$54-O40+0.5)/'Sources &amp; Method'!$B$20))))</f>
        <v>0.97</v>
      </c>
      <c r="U40" s="17" t="n">
        <f aca="false">RANK(J40,$J$2:$J$76)</f>
        <v>32</v>
      </c>
    </row>
    <row r="41" customFormat="false" ht="15" hidden="false" customHeight="false" outlineLevel="0" collapsed="false">
      <c r="A41" s="6" t="s">
        <v>226</v>
      </c>
      <c r="B41" s="6" t="s">
        <v>227</v>
      </c>
      <c r="C41" s="6" t="s">
        <v>151</v>
      </c>
      <c r="D41" s="20" t="n">
        <v>-6.905506</v>
      </c>
      <c r="E41" s="20" t="n">
        <v>107.606627</v>
      </c>
      <c r="F41" s="21" t="n">
        <f aca="false">2*6371000*ASIN(SQRT(SIN(RADIANS(D41-'Sources &amp; Method'!$B$28)/2)^2+COS(RADIANS('Sources &amp; Method'!$B$28))*COS(RADIANS(D41))*SIN(RADIANS(E41-'Sources &amp; Method'!$B$29)/2)^2))</f>
        <v>10400.4478455278</v>
      </c>
      <c r="G41" s="22" t="n">
        <v>49</v>
      </c>
      <c r="H41" s="22" t="n">
        <v>45</v>
      </c>
      <c r="I41" s="23" t="n">
        <f aca="false">IF(G41=0,0,H41/G41)</f>
        <v>0.918367346938776</v>
      </c>
      <c r="J41" s="24" t="n">
        <v>47.51</v>
      </c>
      <c r="K41" s="24" t="n">
        <v>82.537</v>
      </c>
      <c r="L41" s="24" t="n">
        <v>75</v>
      </c>
      <c r="M41" s="22" t="n">
        <v>16</v>
      </c>
      <c r="N41" s="22" t="n">
        <v>10</v>
      </c>
      <c r="O41" s="25" t="n">
        <v>3</v>
      </c>
      <c r="P41" s="26" t="n">
        <f aca="false">'Sources &amp; Method'!$B$19</f>
        <v>0.3</v>
      </c>
      <c r="Q41" s="18" t="n">
        <f aca="false">IF(J41&gt;80,NORMSDIST((Calculator!$B$22-J41)/SQRT((0.3*'Sources &amp; Method'!$B$16)^2+'Sources &amp; Method'!$B$17^2)),(1-P41)*NORMSDIST((Calculator!$B$22-(J41+1))/SQRT((0.3*'Sources &amp; Method'!$B$16)^2+'Sources &amp; Method'!$B$18^2))+P41*NORMSDIST((Calculator!$B$22-85)/SQRT((0.3*'Sources &amp; Method'!$B$16)^2+2.5^2)))</f>
        <v>0.974011137199435</v>
      </c>
      <c r="R41" s="18" t="n">
        <f aca="false">IF(J41&gt;80,NORMSDIST((Calculator!$B$51-J41)/SQRT((0.3*'Sources &amp; Method'!$B$16)^2+'Sources &amp; Method'!$B$17^2)),(1-P41)*NORMSDIST((Calculator!$B$51-(J41+1))/SQRT((0.3*'Sources &amp; Method'!$B$16)^2+'Sources &amp; Method'!$B$18^2))+P41*NORMSDIST((Calculator!$B$51-85)/SQRT((0.3*'Sources &amp; Method'!$B$16)^2+2.5^2)))</f>
        <v>0.173558003917873</v>
      </c>
      <c r="S41" s="18" t="n">
        <f aca="false">IF(OR(M41=0,O41="",Calculator!$B$25=0),0,IF(Calculator!$B$25&gt;=999,'Sources &amp; Method'!$B$21,MIN('Sources &amp; Method'!$B$21,NORMSDIST((Calculator!$B$25-O41+0.5)/'Sources &amp; Method'!$B$20))))</f>
        <v>0</v>
      </c>
      <c r="T41" s="18" t="n">
        <f aca="false">IF(OR(M41=0,O41="",Calculator!$B$54=0),0,IF(Calculator!$B$54&gt;=999,'Sources &amp; Method'!$B$21,MIN('Sources &amp; Method'!$B$21,NORMSDIST((Calculator!$B$54-O41+0.5)/'Sources &amp; Method'!$B$20))))</f>
        <v>0.97</v>
      </c>
      <c r="U41" s="17" t="n">
        <f aca="false">RANK(J41,$J$2:$J$76)</f>
        <v>41</v>
      </c>
    </row>
    <row r="42" customFormat="false" ht="15" hidden="false" customHeight="false" outlineLevel="0" collapsed="false">
      <c r="A42" s="6" t="s">
        <v>228</v>
      </c>
      <c r="B42" s="6" t="s">
        <v>229</v>
      </c>
      <c r="C42" s="6" t="s">
        <v>148</v>
      </c>
      <c r="D42" s="20" t="n">
        <v>-6.915342</v>
      </c>
      <c r="E42" s="20" t="n">
        <v>107.59009</v>
      </c>
      <c r="F42" s="21" t="n">
        <f aca="false">2*6371000*ASIN(SQRT(SIN(RADIANS(D42-'Sources &amp; Method'!$B$28)/2)^2+COS(RADIANS('Sources &amp; Method'!$B$28))*COS(RADIANS(D42))*SIN(RADIANS(E42-'Sources &amp; Method'!$B$29)/2)^2))</f>
        <v>12189.4628019824</v>
      </c>
      <c r="G42" s="22" t="n">
        <v>62</v>
      </c>
      <c r="H42" s="22" t="n">
        <v>56</v>
      </c>
      <c r="I42" s="23" t="n">
        <f aca="false">IF(G42=0,0,H42/G42)</f>
        <v>0.903225806451613</v>
      </c>
      <c r="J42" s="24" t="n">
        <v>47.117</v>
      </c>
      <c r="K42" s="24" t="n">
        <v>86.073</v>
      </c>
      <c r="L42" s="24" t="n">
        <v>70</v>
      </c>
      <c r="M42" s="22" t="n">
        <v>18</v>
      </c>
      <c r="N42" s="22" t="n">
        <v>15</v>
      </c>
      <c r="O42" s="25" t="n">
        <v>4</v>
      </c>
      <c r="P42" s="26" t="n">
        <f aca="false">'Sources &amp; Method'!$B$19</f>
        <v>0.3</v>
      </c>
      <c r="Q42" s="18" t="n">
        <f aca="false">IF(J42&gt;80,NORMSDIST((Calculator!$B$22-J42)/SQRT((0.3*'Sources &amp; Method'!$B$16)^2+'Sources &amp; Method'!$B$17^2)),(1-P42)*NORMSDIST((Calculator!$B$22-(J42+1))/SQRT((0.3*'Sources &amp; Method'!$B$16)^2+'Sources &amp; Method'!$B$18^2))+P42*NORMSDIST((Calculator!$B$22-85)/SQRT((0.3*'Sources &amp; Method'!$B$16)^2+2.5^2)))</f>
        <v>0.974011137199435</v>
      </c>
      <c r="R42" s="18" t="n">
        <f aca="false">IF(J42&gt;80,NORMSDIST((Calculator!$B$51-J42)/SQRT((0.3*'Sources &amp; Method'!$B$16)^2+'Sources &amp; Method'!$B$17^2)),(1-P42)*NORMSDIST((Calculator!$B$51-(J42+1))/SQRT((0.3*'Sources &amp; Method'!$B$16)^2+'Sources &amp; Method'!$B$18^2))+P42*NORMSDIST((Calculator!$B$51-85)/SQRT((0.3*'Sources &amp; Method'!$B$16)^2+2.5^2)))</f>
        <v>0.19816757111191</v>
      </c>
      <c r="S42" s="18" t="n">
        <f aca="false">IF(OR(M42=0,O42="",Calculator!$B$25=0),0,IF(Calculator!$B$25&gt;=999,'Sources &amp; Method'!$B$21,MIN('Sources &amp; Method'!$B$21,NORMSDIST((Calculator!$B$25-O42+0.5)/'Sources &amp; Method'!$B$20))))</f>
        <v>0</v>
      </c>
      <c r="T42" s="18" t="n">
        <f aca="false">IF(OR(M42=0,O42="",Calculator!$B$54=0),0,IF(Calculator!$B$54&gt;=999,'Sources &amp; Method'!$B$21,MIN('Sources &amp; Method'!$B$21,NORMSDIST((Calculator!$B$54-O42+0.5)/'Sources &amp; Method'!$B$20))))</f>
        <v>0.97</v>
      </c>
      <c r="U42" s="17" t="n">
        <f aca="false">RANK(J42,$J$2:$J$76)</f>
        <v>44</v>
      </c>
    </row>
    <row r="43" customFormat="false" ht="15" hidden="false" customHeight="false" outlineLevel="0" collapsed="false">
      <c r="A43" s="6" t="s">
        <v>230</v>
      </c>
      <c r="B43" s="6" t="s">
        <v>231</v>
      </c>
      <c r="C43" s="6" t="s">
        <v>164</v>
      </c>
      <c r="D43" s="20" t="n">
        <v>-6.9575</v>
      </c>
      <c r="E43" s="20" t="n">
        <v>107.6721</v>
      </c>
      <c r="F43" s="21" t="n">
        <f aca="false">2*6371000*ASIN(SQRT(SIN(RADIANS(D43-'Sources &amp; Method'!$B$28)/2)^2+COS(RADIANS('Sources &amp; Method'!$B$28))*COS(RADIANS(D43))*SIN(RADIANS(E43-'Sources &amp; Method'!$B$29)/2)^2))</f>
        <v>5810.71906671007</v>
      </c>
      <c r="G43" s="22" t="n">
        <v>69</v>
      </c>
      <c r="H43" s="22" t="n">
        <v>20</v>
      </c>
      <c r="I43" s="23" t="n">
        <f aca="false">IF(G43=0,0,H43/G43)</f>
        <v>0.289855072463768</v>
      </c>
      <c r="J43" s="24" t="n">
        <v>43.032</v>
      </c>
      <c r="K43" s="24" t="n">
        <v>46.394</v>
      </c>
      <c r="L43" s="24" t="n">
        <v>70</v>
      </c>
      <c r="M43" s="22" t="n">
        <v>4</v>
      </c>
      <c r="N43" s="22" t="n">
        <v>0</v>
      </c>
      <c r="O43" s="25" t="n">
        <v>4</v>
      </c>
      <c r="P43" s="26" t="n">
        <f aca="false">MIN(0.6,COUNTIF(INDEX('Report 2023-2025'!$B$2:$D$20,MATCH(A43,'Report 2023-2025'!$A$2:$A$20,0),0),"&gt;80")/4*0.6)</f>
        <v>0</v>
      </c>
      <c r="Q43" s="18" t="n">
        <f aca="false">IF(J43&gt;80,NORMSDIST((Calculator!$B$22-J43)/SQRT((0.3*'Sources &amp; Method'!$B$16)^2+'Sources &amp; Method'!$B$17^2)),(1-P43)*NORMSDIST((Calculator!$B$22-(J43+1))/SQRT((0.3*'Sources &amp; Method'!$B$16)^2+'Sources &amp; Method'!$B$18^2))+P43*NORMSDIST((Calculator!$B$22-85)/SQRT((0.3*'Sources &amp; Method'!$B$16)^2+2.5^2)))</f>
        <v>1</v>
      </c>
      <c r="R43" s="18" t="n">
        <f aca="false">IF(J43&gt;80,NORMSDIST((Calculator!$B$51-J43)/SQRT((0.3*'Sources &amp; Method'!$B$16)^2+'Sources &amp; Method'!$B$17^2)),(1-P43)*NORMSDIST((Calculator!$B$51-(J43+1))/SQRT((0.3*'Sources &amp; Method'!$B$16)^2+'Sources &amp; Method'!$B$18^2))+P43*NORMSDIST((Calculator!$B$51-85)/SQRT((0.3*'Sources &amp; Method'!$B$16)^2+2.5^2)))</f>
        <v>0.706040334172756</v>
      </c>
      <c r="S43" s="18" t="n">
        <f aca="false">IF(OR(M43=0,O43="",Calculator!$B$25=0),0,IF(Calculator!$B$25&gt;=999,'Sources &amp; Method'!$B$21,MIN('Sources &amp; Method'!$B$21,NORMSDIST((Calculator!$B$25-O43+0.5)/'Sources &amp; Method'!$B$20))))</f>
        <v>0</v>
      </c>
      <c r="T43" s="18" t="n">
        <f aca="false">IF(OR(M43=0,O43="",Calculator!$B$54=0),0,IF(Calculator!$B$54&gt;=999,'Sources &amp; Method'!$B$21,MIN('Sources &amp; Method'!$B$21,NORMSDIST((Calculator!$B$54-O43+0.5)/'Sources &amp; Method'!$B$20))))</f>
        <v>0.97</v>
      </c>
      <c r="U43" s="17" t="n">
        <f aca="false">RANK(J43,$J$2:$J$76)</f>
        <v>65</v>
      </c>
    </row>
    <row r="44" customFormat="false" ht="15" hidden="false" customHeight="false" outlineLevel="0" collapsed="false">
      <c r="A44" s="6" t="s">
        <v>232</v>
      </c>
      <c r="B44" s="6" t="s">
        <v>233</v>
      </c>
      <c r="C44" s="6" t="s">
        <v>154</v>
      </c>
      <c r="D44" s="20" t="n">
        <v>-6.925611</v>
      </c>
      <c r="E44" s="20" t="n">
        <v>107.606748</v>
      </c>
      <c r="F44" s="21" t="n">
        <f aca="false">2*6371000*ASIN(SQRT(SIN(RADIANS(D44-'Sources &amp; Method'!$B$28)/2)^2+COS(RADIANS('Sources &amp; Method'!$B$28))*COS(RADIANS(D44))*SIN(RADIANS(E44-'Sources &amp; Method'!$B$29)/2)^2))</f>
        <v>10436.0691879579</v>
      </c>
      <c r="G44" s="22" t="n">
        <v>44</v>
      </c>
      <c r="H44" s="22" t="n">
        <v>46</v>
      </c>
      <c r="I44" s="23" t="n">
        <f aca="false">IF(G44=0,0,H44/G44)</f>
        <v>1.04545454545455</v>
      </c>
      <c r="J44" s="24" t="n">
        <v>85.682</v>
      </c>
      <c r="K44" s="24" t="n">
        <v>87.652</v>
      </c>
      <c r="L44" s="24" t="n">
        <v>71.67</v>
      </c>
      <c r="M44" s="22" t="n">
        <v>29</v>
      </c>
      <c r="N44" s="22" t="n">
        <v>27</v>
      </c>
      <c r="O44" s="25" t="n">
        <v>8</v>
      </c>
      <c r="P44" s="26" t="n">
        <f aca="false">'Sources &amp; Method'!$B$19</f>
        <v>0.3</v>
      </c>
      <c r="Q44" s="18" t="n">
        <f aca="false">IF(J44&gt;80,NORMSDIST((Calculator!$B$22-J44)/SQRT((0.3*'Sources &amp; Method'!$B$16)^2+'Sources &amp; Method'!$B$17^2)),(1-P44)*NORMSDIST((Calculator!$B$22-(J44+1))/SQRT((0.3*'Sources &amp; Method'!$B$16)^2+'Sources &amp; Method'!$B$18^2))+P44*NORMSDIST((Calculator!$B$22-85)/SQRT((0.3*'Sources &amp; Method'!$B$16)^2+2.5^2)))</f>
        <v>0.913238013483147</v>
      </c>
      <c r="R44" s="18" t="n">
        <f aca="false">IF(J44&gt;80,NORMSDIST((Calculator!$B$51-J44)/SQRT((0.3*'Sources &amp; Method'!$B$16)^2+'Sources &amp; Method'!$B$17^2)),(1-P44)*NORMSDIST((Calculator!$B$51-(J44+1))/SQRT((0.3*'Sources &amp; Method'!$B$16)^2+'Sources &amp; Method'!$B$18^2))+P44*NORMSDIST((Calculator!$B$51-85)/SQRT((0.3*'Sources &amp; Method'!$B$16)^2+2.5^2)))</f>
        <v>6.04884888475651E-047</v>
      </c>
      <c r="S44" s="18" t="n">
        <f aca="false">IF(OR(M44=0,O44="",Calculator!$B$25=0),0,IF(Calculator!$B$25&gt;=999,'Sources &amp; Method'!$B$21,MIN('Sources &amp; Method'!$B$21,NORMSDIST((Calculator!$B$25-O44+0.5)/'Sources &amp; Method'!$B$20))))</f>
        <v>0</v>
      </c>
      <c r="T44" s="18" t="n">
        <f aca="false">IF(OR(M44=0,O44="",Calculator!$B$54=0),0,IF(Calculator!$B$54&gt;=999,'Sources &amp; Method'!$B$21,MIN('Sources &amp; Method'!$B$21,NORMSDIST((Calculator!$B$54-O44+0.5)/'Sources &amp; Method'!$B$20))))</f>
        <v>0.97</v>
      </c>
      <c r="U44" s="17" t="n">
        <f aca="false">RANK(J44,$J$2:$J$76)</f>
        <v>26</v>
      </c>
    </row>
    <row r="45" customFormat="false" ht="15" hidden="false" customHeight="false" outlineLevel="0" collapsed="false">
      <c r="A45" s="6" t="s">
        <v>234</v>
      </c>
      <c r="B45" s="6" t="s">
        <v>235</v>
      </c>
      <c r="C45" s="6" t="s">
        <v>151</v>
      </c>
      <c r="D45" s="20" t="n">
        <v>-6.905228</v>
      </c>
      <c r="E45" s="20" t="n">
        <v>107.620187</v>
      </c>
      <c r="F45" s="21" t="n">
        <f aca="false">2*6371000*ASIN(SQRT(SIN(RADIANS(D45-'Sources &amp; Method'!$B$28)/2)^2+COS(RADIANS('Sources &amp; Method'!$B$28))*COS(RADIANS(D45))*SIN(RADIANS(E45-'Sources &amp; Method'!$B$29)/2)^2))</f>
        <v>8913.13020906089</v>
      </c>
      <c r="G45" s="22" t="n">
        <v>34</v>
      </c>
      <c r="H45" s="22" t="n">
        <v>37</v>
      </c>
      <c r="I45" s="23" t="n">
        <f aca="false">IF(G45=0,0,H45/G45)</f>
        <v>1.08823529411765</v>
      </c>
      <c r="J45" s="24" t="n">
        <v>89.04</v>
      </c>
      <c r="K45" s="24" t="n">
        <v>91.115</v>
      </c>
      <c r="L45" s="24" t="n">
        <v>80</v>
      </c>
      <c r="M45" s="22" t="n">
        <v>23</v>
      </c>
      <c r="N45" s="22" t="n">
        <v>25</v>
      </c>
      <c r="O45" s="25" t="n">
        <v>14</v>
      </c>
      <c r="P45" s="26" t="n">
        <f aca="false">'Sources &amp; Method'!$B$19</f>
        <v>0.3</v>
      </c>
      <c r="Q45" s="18" t="n">
        <f aca="false">IF(J45&gt;80,NORMSDIST((Calculator!$B$22-J45)/SQRT((0.3*'Sources &amp; Method'!$B$16)^2+'Sources &amp; Method'!$B$17^2)),(1-P45)*NORMSDIST((Calculator!$B$22-(J45+1))/SQRT((0.3*'Sources &amp; Method'!$B$16)^2+'Sources &amp; Method'!$B$18^2))+P45*NORMSDIST((Calculator!$B$22-85)/SQRT((0.3*'Sources &amp; Method'!$B$16)^2+2.5^2)))</f>
        <v>0.55838662981491</v>
      </c>
      <c r="R45" s="18" t="n">
        <f aca="false">IF(J45&gt;80,NORMSDIST((Calculator!$B$51-J45)/SQRT((0.3*'Sources &amp; Method'!$B$16)^2+'Sources &amp; Method'!$B$17^2)),(1-P45)*NORMSDIST((Calculator!$B$51-(J45+1))/SQRT((0.3*'Sources &amp; Method'!$B$16)^2+'Sources &amp; Method'!$B$18^2))+P45*NORMSDIST((Calculator!$B$51-85)/SQRT((0.3*'Sources &amp; Method'!$B$16)^2+2.5^2)))</f>
        <v>7.32684034171824E-055</v>
      </c>
      <c r="S45" s="18" t="n">
        <f aca="false">IF(OR(M45=0,O45="",Calculator!$B$25=0),0,IF(Calculator!$B$25&gt;=999,'Sources &amp; Method'!$B$21,MIN('Sources &amp; Method'!$B$21,NORMSDIST((Calculator!$B$25-O45+0.5)/'Sources &amp; Method'!$B$20))))</f>
        <v>0</v>
      </c>
      <c r="T45" s="18" t="n">
        <f aca="false">IF(OR(M45=0,O45="",Calculator!$B$54=0),0,IF(Calculator!$B$54&gt;=999,'Sources &amp; Method'!$B$21,MIN('Sources &amp; Method'!$B$21,NORMSDIST((Calculator!$B$54-O45+0.5)/'Sources &amp; Method'!$B$20))))</f>
        <v>0.97</v>
      </c>
      <c r="U45" s="17" t="n">
        <f aca="false">RANK(J45,$J$2:$J$76)</f>
        <v>15</v>
      </c>
    </row>
    <row r="46" customFormat="false" ht="15" hidden="false" customHeight="false" outlineLevel="0" collapsed="false">
      <c r="A46" s="6" t="s">
        <v>236</v>
      </c>
      <c r="B46" s="6" t="s">
        <v>237</v>
      </c>
      <c r="C46" s="6" t="s">
        <v>164</v>
      </c>
      <c r="D46" s="20" t="n">
        <v>-6.922061</v>
      </c>
      <c r="E46" s="20" t="n">
        <v>107.660218</v>
      </c>
      <c r="F46" s="21" t="n">
        <f aca="false">2*6371000*ASIN(SQRT(SIN(RADIANS(D46-'Sources &amp; Method'!$B$28)/2)^2+COS(RADIANS('Sources &amp; Method'!$B$28))*COS(RADIANS(D46))*SIN(RADIANS(E46-'Sources &amp; Method'!$B$29)/2)^2))</f>
        <v>4547.30241508002</v>
      </c>
      <c r="G46" s="22" t="n">
        <v>34</v>
      </c>
      <c r="H46" s="22" t="n">
        <v>54</v>
      </c>
      <c r="I46" s="23" t="n">
        <f aca="false">IF(G46=0,0,H46/G46)</f>
        <v>1.58823529411765</v>
      </c>
      <c r="J46" s="24" t="n">
        <v>87.289</v>
      </c>
      <c r="K46" s="24" t="n">
        <v>88.3</v>
      </c>
      <c r="L46" s="24" t="n">
        <v>75</v>
      </c>
      <c r="M46" s="22" t="n">
        <v>23</v>
      </c>
      <c r="N46" s="22" t="n">
        <v>30</v>
      </c>
      <c r="O46" s="25" t="n">
        <v>14</v>
      </c>
      <c r="P46" s="26" t="n">
        <f aca="false">MIN(0.6,COUNTIF(INDEX('Report 2023-2025'!$B$2:$D$20,MATCH(A46,'Report 2023-2025'!$A$2:$A$20,0),0),"&gt;80")/4*0.6)</f>
        <v>0.45</v>
      </c>
      <c r="Q46" s="18" t="n">
        <f aca="false">IF(J46&gt;80,NORMSDIST((Calculator!$B$22-J46)/SQRT((0.3*'Sources &amp; Method'!$B$16)^2+'Sources &amp; Method'!$B$17^2)),(1-P46)*NORMSDIST((Calculator!$B$22-(J46+1))/SQRT((0.3*'Sources &amp; Method'!$B$16)^2+'Sources &amp; Method'!$B$18^2))+P46*NORMSDIST((Calculator!$B$22-85)/SQRT((0.3*'Sources &amp; Method'!$B$16)^2+2.5^2)))</f>
        <v>0.782291431339794</v>
      </c>
      <c r="R46" s="18" t="n">
        <f aca="false">IF(J46&gt;80,NORMSDIST((Calculator!$B$51-J46)/SQRT((0.3*'Sources &amp; Method'!$B$16)^2+'Sources &amp; Method'!$B$17^2)),(1-P46)*NORMSDIST((Calculator!$B$51-(J46+1))/SQRT((0.3*'Sources &amp; Method'!$B$16)^2+'Sources &amp; Method'!$B$18^2))+P46*NORMSDIST((Calculator!$B$51-85)/SQRT((0.3*'Sources &amp; Method'!$B$16)^2+2.5^2)))</f>
        <v>1.18185377262167E-050</v>
      </c>
      <c r="S46" s="18" t="n">
        <f aca="false">IF(OR(M46=0,O46="",Calculator!$B$25=0),0,IF(Calculator!$B$25&gt;=999,'Sources &amp; Method'!$B$21,MIN('Sources &amp; Method'!$B$21,NORMSDIST((Calculator!$B$25-O46+0.5)/'Sources &amp; Method'!$B$20))))</f>
        <v>0</v>
      </c>
      <c r="T46" s="18" t="n">
        <f aca="false">IF(OR(M46=0,O46="",Calculator!$B$54=0),0,IF(Calculator!$B$54&gt;=999,'Sources &amp; Method'!$B$21,MIN('Sources &amp; Method'!$B$21,NORMSDIST((Calculator!$B$54-O46+0.5)/'Sources &amp; Method'!$B$20))))</f>
        <v>0.97</v>
      </c>
      <c r="U46" s="17" t="n">
        <f aca="false">RANK(J46,$J$2:$J$76)</f>
        <v>20</v>
      </c>
    </row>
    <row r="47" customFormat="false" ht="15" hidden="false" customHeight="false" outlineLevel="0" collapsed="false">
      <c r="A47" s="6" t="s">
        <v>104</v>
      </c>
      <c r="B47" s="6" t="s">
        <v>238</v>
      </c>
      <c r="C47" s="6" t="s">
        <v>164</v>
      </c>
      <c r="D47" s="20" t="n">
        <v>-6.915635</v>
      </c>
      <c r="E47" s="20" t="n">
        <v>107.72482</v>
      </c>
      <c r="F47" s="21" t="n">
        <f aca="false">2*6371000*ASIN(SQRT(SIN(RADIANS(D47-'Sources &amp; Method'!$B$28)/2)^2+COS(RADIANS('Sources &amp; Method'!$B$28))*COS(RADIANS(D47))*SIN(RADIANS(E47-'Sources &amp; Method'!$B$29)/2)^2))</f>
        <v>2695.06826327759</v>
      </c>
      <c r="G47" s="22" t="n">
        <v>47</v>
      </c>
      <c r="H47" s="22" t="n">
        <v>66</v>
      </c>
      <c r="I47" s="23" t="n">
        <f aca="false">IF(G47=0,0,H47/G47)</f>
        <v>1.40425531914894</v>
      </c>
      <c r="J47" s="24" t="n">
        <v>86.699</v>
      </c>
      <c r="K47" s="24" t="n">
        <v>89.66</v>
      </c>
      <c r="L47" s="24" t="n">
        <v>76.66</v>
      </c>
      <c r="M47" s="22" t="n">
        <v>26</v>
      </c>
      <c r="N47" s="22" t="n">
        <v>21</v>
      </c>
      <c r="O47" s="25" t="n">
        <v>1</v>
      </c>
      <c r="P47" s="26" t="n">
        <f aca="false">MIN(0.6,COUNTIF(INDEX('Report 2023-2025'!$B$2:$D$20,MATCH(A47,'Report 2023-2025'!$A$2:$A$20,0),0),"&gt;80")/4*0.6)</f>
        <v>0.3</v>
      </c>
      <c r="Q47" s="18" t="n">
        <f aca="false">IF(J47&gt;80,NORMSDIST((Calculator!$B$22-J47)/SQRT((0.3*'Sources &amp; Method'!$B$16)^2+'Sources &amp; Method'!$B$17^2)),(1-P47)*NORMSDIST((Calculator!$B$22-(J47+1))/SQRT((0.3*'Sources &amp; Method'!$B$16)^2+'Sources &amp; Method'!$B$18^2))+P47*NORMSDIST((Calculator!$B$22-85)/SQRT((0.3*'Sources &amp; Method'!$B$16)^2+2.5^2)))</f>
        <v>0.839710884654118</v>
      </c>
      <c r="R47" s="18" t="n">
        <f aca="false">IF(J47&gt;80,NORMSDIST((Calculator!$B$51-J47)/SQRT((0.3*'Sources &amp; Method'!$B$16)^2+'Sources &amp; Method'!$B$17^2)),(1-P47)*NORMSDIST((Calculator!$B$51-(J47+1))/SQRT((0.3*'Sources &amp; Method'!$B$16)^2+'Sources &amp; Method'!$B$18^2))+P47*NORMSDIST((Calculator!$B$51-85)/SQRT((0.3*'Sources &amp; Method'!$B$16)^2+2.5^2)))</f>
        <v>2.8267979152251E-049</v>
      </c>
      <c r="S47" s="18" t="n">
        <f aca="false">IF(OR(M47=0,O47="",Calculator!$B$25=0),0,IF(Calculator!$B$25&gt;=999,'Sources &amp; Method'!$B$21,MIN('Sources &amp; Method'!$B$21,NORMSDIST((Calculator!$B$25-O47+0.5)/'Sources &amp; Method'!$B$20))))</f>
        <v>0</v>
      </c>
      <c r="T47" s="18" t="n">
        <f aca="false">IF(OR(M47=0,O47="",Calculator!$B$54=0),0,IF(Calculator!$B$54&gt;=999,'Sources &amp; Method'!$B$21,MIN('Sources &amp; Method'!$B$21,NORMSDIST((Calculator!$B$54-O47+0.5)/'Sources &amp; Method'!$B$20))))</f>
        <v>0.97</v>
      </c>
      <c r="U47" s="17" t="n">
        <f aca="false">RANK(J47,$J$2:$J$76)</f>
        <v>22</v>
      </c>
    </row>
    <row r="48" customFormat="false" ht="15" hidden="false" customHeight="false" outlineLevel="0" collapsed="false">
      <c r="A48" s="6" t="s">
        <v>239</v>
      </c>
      <c r="B48" s="6" t="s">
        <v>240</v>
      </c>
      <c r="C48" s="6" t="s">
        <v>148</v>
      </c>
      <c r="D48" s="20" t="n">
        <v>-6.889746</v>
      </c>
      <c r="E48" s="20" t="n">
        <v>107.558658</v>
      </c>
      <c r="F48" s="21" t="n">
        <f aca="false">2*6371000*ASIN(SQRT(SIN(RADIANS(D48-'Sources &amp; Method'!$B$28)/2)^2+COS(RADIANS('Sources &amp; Method'!$B$28))*COS(RADIANS(D48))*SIN(RADIANS(E48-'Sources &amp; Method'!$B$29)/2)^2))</f>
        <v>15879.0451655068</v>
      </c>
      <c r="G48" s="22" t="n">
        <v>50</v>
      </c>
      <c r="H48" s="22" t="n">
        <v>60</v>
      </c>
      <c r="I48" s="23" t="n">
        <f aca="false">IF(G48=0,0,H48/G48)</f>
        <v>1.2</v>
      </c>
      <c r="J48" s="24" t="n">
        <v>47.319</v>
      </c>
      <c r="K48" s="24" t="n">
        <v>84.839</v>
      </c>
      <c r="L48" s="24" t="n">
        <v>73.34</v>
      </c>
      <c r="M48" s="22" t="n">
        <v>15</v>
      </c>
      <c r="N48" s="22" t="n">
        <v>12</v>
      </c>
      <c r="O48" s="25" t="n">
        <v>4</v>
      </c>
      <c r="P48" s="26" t="n">
        <f aca="false">'Sources &amp; Method'!$B$19</f>
        <v>0.3</v>
      </c>
      <c r="Q48" s="18" t="n">
        <f aca="false">IF(J48&gt;80,NORMSDIST((Calculator!$B$22-J48)/SQRT((0.3*'Sources &amp; Method'!$B$16)^2+'Sources &amp; Method'!$B$17^2)),(1-P48)*NORMSDIST((Calculator!$B$22-(J48+1))/SQRT((0.3*'Sources &amp; Method'!$B$16)^2+'Sources &amp; Method'!$B$18^2))+P48*NORMSDIST((Calculator!$B$22-85)/SQRT((0.3*'Sources &amp; Method'!$B$16)^2+2.5^2)))</f>
        <v>0.974011137199435</v>
      </c>
      <c r="R48" s="18" t="n">
        <f aca="false">IF(J48&gt;80,NORMSDIST((Calculator!$B$51-J48)/SQRT((0.3*'Sources &amp; Method'!$B$16)^2+'Sources &amp; Method'!$B$17^2)),(1-P48)*NORMSDIST((Calculator!$B$51-(J48+1))/SQRT((0.3*'Sources &amp; Method'!$B$16)^2+'Sources &amp; Method'!$B$18^2))+P48*NORMSDIST((Calculator!$B$51-85)/SQRT((0.3*'Sources &amp; Method'!$B$16)^2+2.5^2)))</f>
        <v>0.185311407347803</v>
      </c>
      <c r="S48" s="18" t="n">
        <f aca="false">IF(OR(M48=0,O48="",Calculator!$B$25=0),0,IF(Calculator!$B$25&gt;=999,'Sources &amp; Method'!$B$21,MIN('Sources &amp; Method'!$B$21,NORMSDIST((Calculator!$B$25-O48+0.5)/'Sources &amp; Method'!$B$20))))</f>
        <v>0</v>
      </c>
      <c r="T48" s="18" t="n">
        <f aca="false">IF(OR(M48=0,O48="",Calculator!$B$54=0),0,IF(Calculator!$B$54&gt;=999,'Sources &amp; Method'!$B$21,MIN('Sources &amp; Method'!$B$21,NORMSDIST((Calculator!$B$54-O48+0.5)/'Sources &amp; Method'!$B$20))))</f>
        <v>0.97</v>
      </c>
      <c r="U48" s="17" t="n">
        <f aca="false">RANK(J48,$J$2:$J$76)</f>
        <v>42</v>
      </c>
    </row>
    <row r="49" customFormat="false" ht="15" hidden="false" customHeight="false" outlineLevel="0" collapsed="false">
      <c r="A49" s="6" t="s">
        <v>241</v>
      </c>
      <c r="B49" s="6" t="s">
        <v>242</v>
      </c>
      <c r="C49" s="6" t="s">
        <v>164</v>
      </c>
      <c r="D49" s="20" t="n">
        <v>-6.965953</v>
      </c>
      <c r="E49" s="20" t="n">
        <v>107.666175</v>
      </c>
      <c r="F49" s="21" t="n">
        <f aca="false">2*6371000*ASIN(SQRT(SIN(RADIANS(D49-'Sources &amp; Method'!$B$28)/2)^2+COS(RADIANS('Sources &amp; Method'!$B$28))*COS(RADIANS(D49))*SIN(RADIANS(E49-'Sources &amp; Method'!$B$29)/2)^2))</f>
        <v>6955.08263107729</v>
      </c>
      <c r="G49" s="22" t="n">
        <v>58</v>
      </c>
      <c r="H49" s="22" t="n">
        <v>72</v>
      </c>
      <c r="I49" s="23" t="n">
        <f aca="false">IF(G49=0,0,H49/G49)</f>
        <v>1.24137931034483</v>
      </c>
      <c r="J49" s="24" t="n">
        <v>48.863</v>
      </c>
      <c r="K49" s="24" t="n">
        <v>77.8</v>
      </c>
      <c r="L49" s="24" t="n">
        <v>76.66</v>
      </c>
      <c r="M49" s="22" t="n">
        <v>15</v>
      </c>
      <c r="N49" s="22" t="n">
        <v>6</v>
      </c>
      <c r="O49" s="25" t="n">
        <v>4</v>
      </c>
      <c r="P49" s="26" t="n">
        <f aca="false">MIN(0.6,COUNTIF(INDEX('Report 2023-2025'!$B$2:$D$20,MATCH(A49,'Report 2023-2025'!$A$2:$A$20,0),0),"&gt;80")/4*0.6)</f>
        <v>0.15</v>
      </c>
      <c r="Q49" s="18" t="n">
        <f aca="false">IF(J49&gt;80,NORMSDIST((Calculator!$B$22-J49)/SQRT((0.3*'Sources &amp; Method'!$B$16)^2+'Sources &amp; Method'!$B$17^2)),(1-P49)*NORMSDIST((Calculator!$B$22-(J49+1))/SQRT((0.3*'Sources &amp; Method'!$B$16)^2+'Sources &amp; Method'!$B$18^2))+P49*NORMSDIST((Calculator!$B$22-85)/SQRT((0.3*'Sources &amp; Method'!$B$16)^2+2.5^2)))</f>
        <v>0.987005568599718</v>
      </c>
      <c r="R49" s="18" t="n">
        <f aca="false">IF(J49&gt;80,NORMSDIST((Calculator!$B$51-J49)/SQRT((0.3*'Sources &amp; Method'!$B$16)^2+'Sources &amp; Method'!$B$17^2)),(1-P49)*NORMSDIST((Calculator!$B$51-(J49+1))/SQRT((0.3*'Sources &amp; Method'!$B$16)^2+'Sources &amp; Method'!$B$18^2))+P49*NORMSDIST((Calculator!$B$51-85)/SQRT((0.3*'Sources &amp; Method'!$B$16)^2+2.5^2)))</f>
        <v>0.124740310302732</v>
      </c>
      <c r="S49" s="18" t="n">
        <f aca="false">IF(OR(M49=0,O49="",Calculator!$B$25=0),0,IF(Calculator!$B$25&gt;=999,'Sources &amp; Method'!$B$21,MIN('Sources &amp; Method'!$B$21,NORMSDIST((Calculator!$B$25-O49+0.5)/'Sources &amp; Method'!$B$20))))</f>
        <v>0</v>
      </c>
      <c r="T49" s="18" t="n">
        <f aca="false">IF(OR(M49=0,O49="",Calculator!$B$54=0),0,IF(Calculator!$B$54&gt;=999,'Sources &amp; Method'!$B$21,MIN('Sources &amp; Method'!$B$21,NORMSDIST((Calculator!$B$54-O49+0.5)/'Sources &amp; Method'!$B$20))))</f>
        <v>0.97</v>
      </c>
      <c r="U49" s="17" t="n">
        <f aca="false">RANK(J49,$J$2:$J$76)</f>
        <v>37</v>
      </c>
    </row>
    <row r="50" customFormat="false" ht="15" hidden="false" customHeight="false" outlineLevel="0" collapsed="false">
      <c r="A50" s="6" t="s">
        <v>243</v>
      </c>
      <c r="B50" s="6" t="s">
        <v>244</v>
      </c>
      <c r="C50" s="6" t="s">
        <v>164</v>
      </c>
      <c r="D50" s="20" t="n">
        <v>-6.9074</v>
      </c>
      <c r="E50" s="20" t="n">
        <v>107.6582</v>
      </c>
      <c r="F50" s="21" t="n">
        <f aca="false">2*6371000*ASIN(SQRT(SIN(RADIANS(D50-'Sources &amp; Method'!$B$28)/2)^2+COS(RADIANS('Sources &amp; Method'!$B$28))*COS(RADIANS(D50))*SIN(RADIANS(E50-'Sources &amp; Method'!$B$29)/2)^2))</f>
        <v>4718.38415629614</v>
      </c>
      <c r="G50" s="22" t="n">
        <v>44</v>
      </c>
      <c r="H50" s="22" t="n">
        <v>52</v>
      </c>
      <c r="I50" s="23" t="n">
        <f aca="false">IF(G50=0,0,H50/G50)</f>
        <v>1.18181818181818</v>
      </c>
      <c r="J50" s="24" t="n">
        <v>84.73</v>
      </c>
      <c r="K50" s="24" t="n">
        <v>87.607</v>
      </c>
      <c r="L50" s="24" t="n">
        <v>71.67</v>
      </c>
      <c r="M50" s="22" t="n">
        <v>29</v>
      </c>
      <c r="N50" s="22" t="n">
        <v>29</v>
      </c>
      <c r="O50" s="25" t="n">
        <v>14</v>
      </c>
      <c r="P50" s="26" t="n">
        <f aca="false">MIN(0.6,COUNTIF(INDEX('Report 2023-2025'!$B$2:$D$20,MATCH(A50,'Report 2023-2025'!$A$2:$A$20,0),0),"&gt;80")/4*0.6)</f>
        <v>0.3</v>
      </c>
      <c r="Q50" s="18" t="n">
        <f aca="false">IF(J50&gt;80,NORMSDIST((Calculator!$B$22-J50)/SQRT((0.3*'Sources &amp; Method'!$B$16)^2+'Sources &amp; Method'!$B$17^2)),(1-P50)*NORMSDIST((Calculator!$B$22-(J50+1))/SQRT((0.3*'Sources &amp; Method'!$B$16)^2+'Sources &amp; Method'!$B$18^2))+P50*NORMSDIST((Calculator!$B$22-85)/SQRT((0.3*'Sources &amp; Method'!$B$16)^2+2.5^2)))</f>
        <v>0.955918059023</v>
      </c>
      <c r="R50" s="18" t="n">
        <f aca="false">IF(J50&gt;80,NORMSDIST((Calculator!$B$51-J50)/SQRT((0.3*'Sources &amp; Method'!$B$16)^2+'Sources &amp; Method'!$B$17^2)),(1-P50)*NORMSDIST((Calculator!$B$51-(J50+1))/SQRT((0.3*'Sources &amp; Method'!$B$16)^2+'Sources &amp; Method'!$B$18^2))+P50*NORMSDIST((Calculator!$B$51-85)/SQRT((0.3*'Sources &amp; Method'!$B$16)^2+2.5^2)))</f>
        <v>8.13114279194421E-045</v>
      </c>
      <c r="S50" s="18" t="n">
        <f aca="false">IF(OR(M50=0,O50="",Calculator!$B$25=0),0,IF(Calculator!$B$25&gt;=999,'Sources &amp; Method'!$B$21,MIN('Sources &amp; Method'!$B$21,NORMSDIST((Calculator!$B$25-O50+0.5)/'Sources &amp; Method'!$B$20))))</f>
        <v>0</v>
      </c>
      <c r="T50" s="18" t="n">
        <f aca="false">IF(OR(M50=0,O50="",Calculator!$B$54=0),0,IF(Calculator!$B$54&gt;=999,'Sources &amp; Method'!$B$21,MIN('Sources &amp; Method'!$B$21,NORMSDIST((Calculator!$B$54-O50+0.5)/'Sources &amp; Method'!$B$20))))</f>
        <v>0.97</v>
      </c>
      <c r="U50" s="17" t="n">
        <f aca="false">RANK(J50,$J$2:$J$76)</f>
        <v>31</v>
      </c>
    </row>
    <row r="51" customFormat="false" ht="15" hidden="false" customHeight="false" outlineLevel="0" collapsed="false">
      <c r="A51" s="6" t="s">
        <v>118</v>
      </c>
      <c r="B51" s="6" t="s">
        <v>245</v>
      </c>
      <c r="C51" s="6" t="s">
        <v>164</v>
      </c>
      <c r="D51" s="20" t="n">
        <v>-6.907382</v>
      </c>
      <c r="E51" s="20" t="n">
        <v>107.697316</v>
      </c>
      <c r="F51" s="21" t="n">
        <f aca="false">2*6371000*ASIN(SQRT(SIN(RADIANS(D51-'Sources &amp; Method'!$B$28)/2)^2+COS(RADIANS('Sources &amp; Method'!$B$28))*COS(RADIANS(D51))*SIN(RADIANS(E51-'Sources &amp; Method'!$B$29)/2)^2))</f>
        <v>765.720759835841</v>
      </c>
      <c r="G51" s="22" t="n">
        <v>44</v>
      </c>
      <c r="H51" s="22" t="n">
        <v>36</v>
      </c>
      <c r="I51" s="23" t="n">
        <f aca="false">IF(G51=0,0,H51/G51)</f>
        <v>0.818181818181818</v>
      </c>
      <c r="J51" s="24" t="n">
        <v>86.567</v>
      </c>
      <c r="K51" s="24" t="n">
        <v>89.321</v>
      </c>
      <c r="L51" s="24" t="n">
        <v>78.33</v>
      </c>
      <c r="M51" s="22" t="n">
        <v>29</v>
      </c>
      <c r="N51" s="22" t="n">
        <v>24</v>
      </c>
      <c r="O51" s="25" t="n">
        <v>8</v>
      </c>
      <c r="P51" s="26" t="n">
        <f aca="false">MIN(0.6,COUNTIF(INDEX('Report 2023-2025'!$B$2:$D$20,MATCH(A51,'Report 2023-2025'!$A$2:$A$20,0),0),"&gt;80")/4*0.6)</f>
        <v>0.45</v>
      </c>
      <c r="Q51" s="18" t="n">
        <f aca="false">IF(J51&gt;80,NORMSDIST((Calculator!$B$22-J51)/SQRT((0.3*'Sources &amp; Method'!$B$16)^2+'Sources &amp; Method'!$B$17^2)),(1-P51)*NORMSDIST((Calculator!$B$22-(J51+1))/SQRT((0.3*'Sources &amp; Method'!$B$16)^2+'Sources &amp; Method'!$B$18^2))+P51*NORMSDIST((Calculator!$B$22-85)/SQRT((0.3*'Sources &amp; Method'!$B$16)^2+2.5^2)))</f>
        <v>0.851061073598391</v>
      </c>
      <c r="R51" s="18" t="n">
        <f aca="false">IF(J51&gt;80,NORMSDIST((Calculator!$B$51-J51)/SQRT((0.3*'Sources &amp; Method'!$B$16)^2+'Sources &amp; Method'!$B$17^2)),(1-P51)*NORMSDIST((Calculator!$B$51-(J51+1))/SQRT((0.3*'Sources &amp; Method'!$B$16)^2+'Sources &amp; Method'!$B$18^2))+P51*NORMSDIST((Calculator!$B$51-85)/SQRT((0.3*'Sources &amp; Method'!$B$16)^2+2.5^2)))</f>
        <v>5.71562161523175E-049</v>
      </c>
      <c r="S51" s="18" t="n">
        <f aca="false">IF(OR(M51=0,O51="",Calculator!$B$25=0),0,IF(Calculator!$B$25&gt;=999,'Sources &amp; Method'!$B$21,MIN('Sources &amp; Method'!$B$21,NORMSDIST((Calculator!$B$25-O51+0.5)/'Sources &amp; Method'!$B$20))))</f>
        <v>0</v>
      </c>
      <c r="T51" s="18" t="n">
        <f aca="false">IF(OR(M51=0,O51="",Calculator!$B$54=0),0,IF(Calculator!$B$54&gt;=999,'Sources &amp; Method'!$B$21,MIN('Sources &amp; Method'!$B$21,NORMSDIST((Calculator!$B$54-O51+0.5)/'Sources &amp; Method'!$B$20))))</f>
        <v>0.97</v>
      </c>
      <c r="U51" s="17" t="n">
        <f aca="false">RANK(J51,$J$2:$J$76)</f>
        <v>23</v>
      </c>
    </row>
    <row r="52" customFormat="false" ht="15" hidden="false" customHeight="false" outlineLevel="0" collapsed="false">
      <c r="A52" s="6" t="s">
        <v>246</v>
      </c>
      <c r="B52" s="6" t="s">
        <v>247</v>
      </c>
      <c r="C52" s="6" t="s">
        <v>164</v>
      </c>
      <c r="D52" s="20" t="n">
        <v>-6.96534</v>
      </c>
      <c r="E52" s="20" t="n">
        <v>107.680416</v>
      </c>
      <c r="F52" s="21" t="n">
        <f aca="false">2*6371000*ASIN(SQRT(SIN(RADIANS(D52-'Sources &amp; Method'!$B$28)/2)^2+COS(RADIANS('Sources &amp; Method'!$B$28))*COS(RADIANS(D52))*SIN(RADIANS(E52-'Sources &amp; Method'!$B$29)/2)^2))</f>
        <v>6175.9393064314</v>
      </c>
      <c r="G52" s="22" t="n">
        <v>48</v>
      </c>
      <c r="H52" s="22" t="n">
        <v>89</v>
      </c>
      <c r="I52" s="23" t="n">
        <f aca="false">IF(G52=0,0,H52/G52)</f>
        <v>1.85416666666667</v>
      </c>
      <c r="J52" s="24" t="n">
        <v>84.848</v>
      </c>
      <c r="K52" s="24" t="n">
        <v>88.082</v>
      </c>
      <c r="L52" s="24" t="n">
        <v>73.34</v>
      </c>
      <c r="M52" s="22" t="n">
        <v>32</v>
      </c>
      <c r="N52" s="22" t="n">
        <v>40</v>
      </c>
      <c r="O52" s="25" t="n">
        <v>10</v>
      </c>
      <c r="P52" s="26" t="n">
        <f aca="false">MIN(0.6,COUNTIF(INDEX('Report 2023-2025'!$B$2:$D$20,MATCH(A52,'Report 2023-2025'!$A$2:$A$20,0),0),"&gt;80")/4*0.6)</f>
        <v>0.3</v>
      </c>
      <c r="Q52" s="18" t="n">
        <f aca="false">IF(J52&gt;80,NORMSDIST((Calculator!$B$22-J52)/SQRT((0.3*'Sources &amp; Method'!$B$16)^2+'Sources &amp; Method'!$B$17^2)),(1-P52)*NORMSDIST((Calculator!$B$22-(J52+1))/SQRT((0.3*'Sources &amp; Method'!$B$16)^2+'Sources &amp; Method'!$B$18^2))+P52*NORMSDIST((Calculator!$B$22-85)/SQRT((0.3*'Sources &amp; Method'!$B$16)^2+2.5^2)))</f>
        <v>0.951793798068144</v>
      </c>
      <c r="R52" s="18" t="n">
        <f aca="false">IF(J52&gt;80,NORMSDIST((Calculator!$B$51-J52)/SQRT((0.3*'Sources &amp; Method'!$B$16)^2+'Sources &amp; Method'!$B$17^2)),(1-P52)*NORMSDIST((Calculator!$B$51-(J52+1))/SQRT((0.3*'Sources &amp; Method'!$B$16)^2+'Sources &amp; Method'!$B$18^2))+P52*NORMSDIST((Calculator!$B$51-85)/SQRT((0.3*'Sources &amp; Method'!$B$16)^2+2.5^2)))</f>
        <v>4.45766453662341E-045</v>
      </c>
      <c r="S52" s="18" t="n">
        <f aca="false">IF(OR(M52=0,O52="",Calculator!$B$25=0),0,IF(Calculator!$B$25&gt;=999,'Sources &amp; Method'!$B$21,MIN('Sources &amp; Method'!$B$21,NORMSDIST((Calculator!$B$25-O52+0.5)/'Sources &amp; Method'!$B$20))))</f>
        <v>0</v>
      </c>
      <c r="T52" s="18" t="n">
        <f aca="false">IF(OR(M52=0,O52="",Calculator!$B$54=0),0,IF(Calculator!$B$54&gt;=999,'Sources &amp; Method'!$B$21,MIN('Sources &amp; Method'!$B$21,NORMSDIST((Calculator!$B$54-O52+0.5)/'Sources &amp; Method'!$B$20))))</f>
        <v>0.97</v>
      </c>
      <c r="U52" s="17" t="n">
        <f aca="false">RANK(J52,$J$2:$J$76)</f>
        <v>30</v>
      </c>
    </row>
    <row r="53" customFormat="false" ht="15" hidden="false" customHeight="false" outlineLevel="0" collapsed="false">
      <c r="A53" s="6" t="s">
        <v>248</v>
      </c>
      <c r="B53" s="6" t="s">
        <v>249</v>
      </c>
      <c r="C53" s="6" t="s">
        <v>151</v>
      </c>
      <c r="D53" s="20" t="n">
        <v>-6.8607</v>
      </c>
      <c r="E53" s="20" t="n">
        <v>107.6065</v>
      </c>
      <c r="F53" s="21" t="n">
        <f aca="false">2*6371000*ASIN(SQRT(SIN(RADIANS(D53-'Sources &amp; Method'!$B$28)/2)^2+COS(RADIANS('Sources &amp; Method'!$B$28))*COS(RADIANS(D53))*SIN(RADIANS(E53-'Sources &amp; Method'!$B$29)/2)^2))</f>
        <v>11922.6603357388</v>
      </c>
      <c r="G53" s="22" t="n">
        <v>62</v>
      </c>
      <c r="H53" s="22" t="n">
        <v>32</v>
      </c>
      <c r="I53" s="23" t="n">
        <f aca="false">IF(G53=0,0,H53/G53)</f>
        <v>0.516129032258065</v>
      </c>
      <c r="J53" s="24" t="n">
        <v>41.711</v>
      </c>
      <c r="K53" s="24" t="n">
        <v>44.952</v>
      </c>
      <c r="L53" s="24" t="n">
        <v>65</v>
      </c>
      <c r="M53" s="22" t="n">
        <v>3</v>
      </c>
      <c r="N53" s="22" t="n">
        <v>1</v>
      </c>
      <c r="O53" s="25" t="n">
        <v>5</v>
      </c>
      <c r="P53" s="26" t="n">
        <f aca="false">'Sources &amp; Method'!$B$19</f>
        <v>0.3</v>
      </c>
      <c r="Q53" s="18" t="n">
        <f aca="false">IF(J53&gt;80,NORMSDIST((Calculator!$B$22-J53)/SQRT((0.3*'Sources &amp; Method'!$B$16)^2+'Sources &amp; Method'!$B$17^2)),(1-P53)*NORMSDIST((Calculator!$B$22-(J53+1))/SQRT((0.3*'Sources &amp; Method'!$B$16)^2+'Sources &amp; Method'!$B$18^2))+P53*NORMSDIST((Calculator!$B$22-85)/SQRT((0.3*'Sources &amp; Method'!$B$16)^2+2.5^2)))</f>
        <v>0.974011137199435</v>
      </c>
      <c r="R53" s="18" t="n">
        <f aca="false">IF(J53&gt;80,NORMSDIST((Calculator!$B$51-J53)/SQRT((0.3*'Sources &amp; Method'!$B$16)^2+'Sources &amp; Method'!$B$17^2)),(1-P53)*NORMSDIST((Calculator!$B$51-(J53+1))/SQRT((0.3*'Sources &amp; Method'!$B$16)^2+'Sources &amp; Method'!$B$18^2))+P53*NORMSDIST((Calculator!$B$51-85)/SQRT((0.3*'Sources &amp; Method'!$B$16)^2+2.5^2)))</f>
        <v>0.571639533604958</v>
      </c>
      <c r="S53" s="18" t="n">
        <f aca="false">IF(OR(M53=0,O53="",Calculator!$B$25=0),0,IF(Calculator!$B$25&gt;=999,'Sources &amp; Method'!$B$21,MIN('Sources &amp; Method'!$B$21,NORMSDIST((Calculator!$B$25-O53+0.5)/'Sources &amp; Method'!$B$20))))</f>
        <v>0</v>
      </c>
      <c r="T53" s="18" t="n">
        <f aca="false">IF(OR(M53=0,O53="",Calculator!$B$54=0),0,IF(Calculator!$B$54&gt;=999,'Sources &amp; Method'!$B$21,MIN('Sources &amp; Method'!$B$21,NORMSDIST((Calculator!$B$54-O53+0.5)/'Sources &amp; Method'!$B$20))))</f>
        <v>0.97</v>
      </c>
      <c r="U53" s="17" t="n">
        <f aca="false">RANK(J53,$J$2:$J$76)</f>
        <v>69</v>
      </c>
    </row>
    <row r="54" customFormat="false" ht="15" hidden="false" customHeight="false" outlineLevel="0" collapsed="false">
      <c r="A54" s="6" t="s">
        <v>250</v>
      </c>
      <c r="B54" s="6" t="s">
        <v>251</v>
      </c>
      <c r="C54" s="6" t="s">
        <v>164</v>
      </c>
      <c r="D54" s="20" t="n">
        <v>-6.899147</v>
      </c>
      <c r="E54" s="20" t="n">
        <v>107.680619</v>
      </c>
      <c r="F54" s="21" t="n">
        <f aca="false">2*6371000*ASIN(SQRT(SIN(RADIANS(D54-'Sources &amp; Method'!$B$28)/2)^2+COS(RADIANS('Sources &amp; Method'!$B$28))*COS(RADIANS(D54))*SIN(RADIANS(E54-'Sources &amp; Method'!$B$29)/2)^2))</f>
        <v>2713.58388886493</v>
      </c>
      <c r="G54" s="22" t="n">
        <v>44</v>
      </c>
      <c r="H54" s="22" t="n">
        <v>15</v>
      </c>
      <c r="I54" s="23" t="n">
        <f aca="false">IF(G54=0,0,H54/G54)</f>
        <v>0.340909090909091</v>
      </c>
      <c r="J54" s="24" t="n">
        <v>45.128</v>
      </c>
      <c r="K54" s="24" t="n">
        <v>68.495</v>
      </c>
      <c r="L54" s="24" t="n">
        <v>70</v>
      </c>
      <c r="M54" s="22" t="n">
        <v>13</v>
      </c>
      <c r="N54" s="22" t="n">
        <v>7</v>
      </c>
      <c r="O54" s="25" t="n">
        <v>4</v>
      </c>
      <c r="P54" s="26" t="n">
        <f aca="false">MIN(0.6,COUNTIF(INDEX('Report 2023-2025'!$B$2:$D$20,MATCH(A54,'Report 2023-2025'!$A$2:$A$20,0),0),"&gt;80")/4*0.6)</f>
        <v>0.3</v>
      </c>
      <c r="Q54" s="18" t="n">
        <f aca="false">IF(J54&gt;80,NORMSDIST((Calculator!$B$22-J54)/SQRT((0.3*'Sources &amp; Method'!$B$16)^2+'Sources &amp; Method'!$B$17^2)),(1-P54)*NORMSDIST((Calculator!$B$22-(J54+1))/SQRT((0.3*'Sources &amp; Method'!$B$16)^2+'Sources &amp; Method'!$B$18^2))+P54*NORMSDIST((Calculator!$B$22-85)/SQRT((0.3*'Sources &amp; Method'!$B$16)^2+2.5^2)))</f>
        <v>0.974011137199435</v>
      </c>
      <c r="R54" s="18" t="n">
        <f aca="false">IF(J54&gt;80,NORMSDIST((Calculator!$B$51-J54)/SQRT((0.3*'Sources &amp; Method'!$B$16)^2+'Sources &amp; Method'!$B$17^2)),(1-P54)*NORMSDIST((Calculator!$B$51-(J54+1))/SQRT((0.3*'Sources &amp; Method'!$B$16)^2+'Sources &amp; Method'!$B$18^2))+P54*NORMSDIST((Calculator!$B$51-85)/SQRT((0.3*'Sources &amp; Method'!$B$16)^2+2.5^2)))</f>
        <v>0.34147932801674</v>
      </c>
      <c r="S54" s="18" t="n">
        <f aca="false">IF(OR(M54=0,O54="",Calculator!$B$25=0),0,IF(Calculator!$B$25&gt;=999,'Sources &amp; Method'!$B$21,MIN('Sources &amp; Method'!$B$21,NORMSDIST((Calculator!$B$25-O54+0.5)/'Sources &amp; Method'!$B$20))))</f>
        <v>0</v>
      </c>
      <c r="T54" s="18" t="n">
        <f aca="false">IF(OR(M54=0,O54="",Calculator!$B$54=0),0,IF(Calculator!$B$54&gt;=999,'Sources &amp; Method'!$B$21,MIN('Sources &amp; Method'!$B$21,NORMSDIST((Calculator!$B$54-O54+0.5)/'Sources &amp; Method'!$B$20))))</f>
        <v>0.97</v>
      </c>
      <c r="U54" s="17" t="n">
        <f aca="false">RANK(J54,$J$2:$J$76)</f>
        <v>57</v>
      </c>
    </row>
    <row r="55" customFormat="false" ht="15" hidden="false" customHeight="false" outlineLevel="0" collapsed="false">
      <c r="A55" s="6" t="s">
        <v>252</v>
      </c>
      <c r="B55" s="6" t="s">
        <v>253</v>
      </c>
      <c r="C55" s="6" t="s">
        <v>164</v>
      </c>
      <c r="D55" s="20" t="n">
        <v>-6.958107</v>
      </c>
      <c r="E55" s="20" t="n">
        <v>107.70641</v>
      </c>
      <c r="F55" s="21" t="n">
        <f aca="false">2*6371000*ASIN(SQRT(SIN(RADIANS(D55-'Sources &amp; Method'!$B$28)/2)^2+COS(RADIANS('Sources &amp; Method'!$B$28))*COS(RADIANS(D55))*SIN(RADIANS(E55-'Sources &amp; Method'!$B$29)/2)^2))</f>
        <v>5002.78717528467</v>
      </c>
      <c r="G55" s="22" t="n">
        <v>58</v>
      </c>
      <c r="H55" s="22" t="n">
        <v>34</v>
      </c>
      <c r="I55" s="23" t="n">
        <f aca="false">IF(G55=0,0,H55/G55)</f>
        <v>0.586206896551724</v>
      </c>
      <c r="J55" s="24" t="n">
        <v>38.162</v>
      </c>
      <c r="K55" s="24" t="n">
        <v>47.027</v>
      </c>
      <c r="L55" s="24" t="n">
        <v>61.67</v>
      </c>
      <c r="M55" s="22" t="n">
        <v>7</v>
      </c>
      <c r="N55" s="22" t="n">
        <v>3</v>
      </c>
      <c r="O55" s="25" t="n">
        <v>6</v>
      </c>
      <c r="P55" s="26" t="n">
        <f aca="false">MIN(0.6,COUNTIF(INDEX('Report 2023-2025'!$B$2:$D$20,MATCH(A55,'Report 2023-2025'!$A$2:$A$20,0),0),"&gt;80")/4*0.6)</f>
        <v>0</v>
      </c>
      <c r="Q55" s="18" t="n">
        <f aca="false">IF(J55&gt;80,NORMSDIST((Calculator!$B$22-J55)/SQRT((0.3*'Sources &amp; Method'!$B$16)^2+'Sources &amp; Method'!$B$17^2)),(1-P55)*NORMSDIST((Calculator!$B$22-(J55+1))/SQRT((0.3*'Sources &amp; Method'!$B$16)^2+'Sources &amp; Method'!$B$18^2))+P55*NORMSDIST((Calculator!$B$22-85)/SQRT((0.3*'Sources &amp; Method'!$B$16)^2+2.5^2)))</f>
        <v>1</v>
      </c>
      <c r="R55" s="18" t="n">
        <f aca="false">IF(J55&gt;80,NORMSDIST((Calculator!$B$51-J55)/SQRT((0.3*'Sources &amp; Method'!$B$16)^2+'Sources &amp; Method'!$B$17^2)),(1-P55)*NORMSDIST((Calculator!$B$51-(J55+1))/SQRT((0.3*'Sources &amp; Method'!$B$16)^2+'Sources &amp; Method'!$B$18^2))+P55*NORMSDIST((Calculator!$B$51-85)/SQRT((0.3*'Sources &amp; Method'!$B$16)^2+2.5^2)))</f>
        <v>0.969378717657662</v>
      </c>
      <c r="S55" s="18" t="n">
        <f aca="false">IF(OR(M55=0,O55="",Calculator!$B$25=0),0,IF(Calculator!$B$25&gt;=999,'Sources &amp; Method'!$B$21,MIN('Sources &amp; Method'!$B$21,NORMSDIST((Calculator!$B$25-O55+0.5)/'Sources &amp; Method'!$B$20))))</f>
        <v>0</v>
      </c>
      <c r="T55" s="18" t="n">
        <f aca="false">IF(OR(M55=0,O55="",Calculator!$B$54=0),0,IF(Calculator!$B$54&gt;=999,'Sources &amp; Method'!$B$21,MIN('Sources &amp; Method'!$B$21,NORMSDIST((Calculator!$B$54-O55+0.5)/'Sources &amp; Method'!$B$20))))</f>
        <v>0.97</v>
      </c>
      <c r="U55" s="17" t="n">
        <f aca="false">RANK(J55,$J$2:$J$76)</f>
        <v>73</v>
      </c>
    </row>
    <row r="56" customFormat="false" ht="15" hidden="false" customHeight="false" outlineLevel="0" collapsed="false">
      <c r="A56" s="6" t="s">
        <v>254</v>
      </c>
      <c r="B56" s="6" t="s">
        <v>255</v>
      </c>
      <c r="C56" s="6" t="s">
        <v>148</v>
      </c>
      <c r="D56" s="20" t="n">
        <v>-6.940357</v>
      </c>
      <c r="E56" s="20" t="n">
        <v>107.557679</v>
      </c>
      <c r="F56" s="21" t="n">
        <f aca="false">2*6371000*ASIN(SQRT(SIN(RADIANS(D56-'Sources &amp; Method'!$B$28)/2)^2+COS(RADIANS('Sources &amp; Method'!$B$28))*COS(RADIANS(D56))*SIN(RADIANS(E56-'Sources &amp; Method'!$B$29)/2)^2))</f>
        <v>16045.4108328248</v>
      </c>
      <c r="G56" s="22" t="n">
        <v>46</v>
      </c>
      <c r="H56" s="22" t="n">
        <v>27</v>
      </c>
      <c r="I56" s="23" t="n">
        <f aca="false">IF(G56=0,0,H56/G56)</f>
        <v>0.586956521739131</v>
      </c>
      <c r="J56" s="24" t="n">
        <v>30.95</v>
      </c>
      <c r="K56" s="24" t="n">
        <v>42.008</v>
      </c>
      <c r="L56" s="24" t="n">
        <v>60</v>
      </c>
      <c r="M56" s="22" t="n">
        <v>3</v>
      </c>
      <c r="N56" s="22" t="n">
        <v>3</v>
      </c>
      <c r="O56" s="25" t="n">
        <v>6</v>
      </c>
      <c r="P56" s="26" t="n">
        <f aca="false">'Sources &amp; Method'!$B$19</f>
        <v>0.3</v>
      </c>
      <c r="Q56" s="18" t="n">
        <f aca="false">IF(J56&gt;80,NORMSDIST((Calculator!$B$22-J56)/SQRT((0.3*'Sources &amp; Method'!$B$16)^2+'Sources &amp; Method'!$B$17^2)),(1-P56)*NORMSDIST((Calculator!$B$22-(J56+1))/SQRT((0.3*'Sources &amp; Method'!$B$16)^2+'Sources &amp; Method'!$B$18^2))+P56*NORMSDIST((Calculator!$B$22-85)/SQRT((0.3*'Sources &amp; Method'!$B$16)^2+2.5^2)))</f>
        <v>0.974011137199435</v>
      </c>
      <c r="R56" s="18" t="n">
        <f aca="false">IF(J56&gt;80,NORMSDIST((Calculator!$B$51-J56)/SQRT((0.3*'Sources &amp; Method'!$B$16)^2+'Sources &amp; Method'!$B$17^2)),(1-P56)*NORMSDIST((Calculator!$B$51-(J56+1))/SQRT((0.3*'Sources &amp; Method'!$B$16)^2+'Sources &amp; Method'!$B$18^2))+P56*NORMSDIST((Calculator!$B$51-85)/SQRT((0.3*'Sources &amp; Method'!$B$16)^2+2.5^2)))</f>
        <v>0.699957143395126</v>
      </c>
      <c r="S56" s="18" t="n">
        <f aca="false">IF(OR(M56=0,O56="",Calculator!$B$25=0),0,IF(Calculator!$B$25&gt;=999,'Sources &amp; Method'!$B$21,MIN('Sources &amp; Method'!$B$21,NORMSDIST((Calculator!$B$25-O56+0.5)/'Sources &amp; Method'!$B$20))))</f>
        <v>0</v>
      </c>
      <c r="T56" s="18" t="n">
        <f aca="false">IF(OR(M56=0,O56="",Calculator!$B$54=0),0,IF(Calculator!$B$54&gt;=999,'Sources &amp; Method'!$B$21,MIN('Sources &amp; Method'!$B$21,NORMSDIST((Calculator!$B$54-O56+0.5)/'Sources &amp; Method'!$B$20))))</f>
        <v>0.97</v>
      </c>
      <c r="U56" s="17" t="n">
        <f aca="false">RANK(J56,$J$2:$J$76)</f>
        <v>75</v>
      </c>
    </row>
    <row r="57" customFormat="false" ht="15" hidden="false" customHeight="false" outlineLevel="0" collapsed="false">
      <c r="A57" s="6" t="s">
        <v>114</v>
      </c>
      <c r="B57" s="6" t="s">
        <v>256</v>
      </c>
      <c r="C57" s="6" t="s">
        <v>164</v>
      </c>
      <c r="D57" s="20" t="n">
        <v>-6.924045</v>
      </c>
      <c r="E57" s="20" t="n">
        <v>107.704971</v>
      </c>
      <c r="F57" s="21" t="n">
        <f aca="false">2*6371000*ASIN(SQRT(SIN(RADIANS(D57-'Sources &amp; Method'!$B$28)/2)^2+COS(RADIANS('Sources &amp; Method'!$B$28))*COS(RADIANS(D57))*SIN(RADIANS(E57-'Sources &amp; Method'!$B$29)/2)^2))</f>
        <v>1272.1826621976</v>
      </c>
      <c r="G57" s="22" t="n">
        <v>39</v>
      </c>
      <c r="H57" s="22" t="n">
        <v>35</v>
      </c>
      <c r="I57" s="23" t="n">
        <f aca="false">IF(G57=0,0,H57/G57)</f>
        <v>0.897435897435898</v>
      </c>
      <c r="J57" s="24" t="n">
        <v>85.017</v>
      </c>
      <c r="K57" s="24" t="n">
        <v>87.506</v>
      </c>
      <c r="L57" s="24" t="n">
        <v>73.33</v>
      </c>
      <c r="M57" s="22" t="n">
        <v>26</v>
      </c>
      <c r="N57" s="22" t="n">
        <v>21</v>
      </c>
      <c r="O57" s="25" t="n">
        <v>8</v>
      </c>
      <c r="P57" s="26" t="n">
        <f aca="false">MIN(0.6,COUNTIF(INDEX('Report 2023-2025'!$B$2:$D$20,MATCH(A57,'Report 2023-2025'!$A$2:$A$20,0),0),"&gt;80")/4*0.6)</f>
        <v>0.45</v>
      </c>
      <c r="Q57" s="18" t="n">
        <f aca="false">IF(J57&gt;80,NORMSDIST((Calculator!$B$22-J57)/SQRT((0.3*'Sources &amp; Method'!$B$16)^2+'Sources &amp; Method'!$B$17^2)),(1-P57)*NORMSDIST((Calculator!$B$22-(J57+1))/SQRT((0.3*'Sources &amp; Method'!$B$16)^2+'Sources &amp; Method'!$B$18^2))+P57*NORMSDIST((Calculator!$B$22-85)/SQRT((0.3*'Sources &amp; Method'!$B$16)^2+2.5^2)))</f>
        <v>0.945355681648462</v>
      </c>
      <c r="R57" s="18" t="n">
        <f aca="false">IF(J57&gt;80,NORMSDIST((Calculator!$B$51-J57)/SQRT((0.3*'Sources &amp; Method'!$B$16)^2+'Sources &amp; Method'!$B$17^2)),(1-P57)*NORMSDIST((Calculator!$B$51-(J57+1))/SQRT((0.3*'Sources &amp; Method'!$B$16)^2+'Sources &amp; Method'!$B$18^2))+P57*NORMSDIST((Calculator!$B$51-85)/SQRT((0.3*'Sources &amp; Method'!$B$16)^2+2.5^2)))</f>
        <v>1.8787499890316E-045</v>
      </c>
      <c r="S57" s="18" t="n">
        <f aca="false">IF(OR(M57=0,O57="",Calculator!$B$25=0),0,IF(Calculator!$B$25&gt;=999,'Sources &amp; Method'!$B$21,MIN('Sources &amp; Method'!$B$21,NORMSDIST((Calculator!$B$25-O57+0.5)/'Sources &amp; Method'!$B$20))))</f>
        <v>0</v>
      </c>
      <c r="T57" s="18" t="n">
        <f aca="false">IF(OR(M57=0,O57="",Calculator!$B$54=0),0,IF(Calculator!$B$54&gt;=999,'Sources &amp; Method'!$B$21,MIN('Sources &amp; Method'!$B$21,NORMSDIST((Calculator!$B$54-O57+0.5)/'Sources &amp; Method'!$B$20))))</f>
        <v>0.97</v>
      </c>
      <c r="U57" s="17" t="n">
        <f aca="false">RANK(J57,$J$2:$J$76)</f>
        <v>29</v>
      </c>
    </row>
    <row r="58" customFormat="false" ht="15" hidden="false" customHeight="false" outlineLevel="0" collapsed="false">
      <c r="A58" s="6" t="s">
        <v>257</v>
      </c>
      <c r="B58" s="6" t="s">
        <v>258</v>
      </c>
      <c r="C58" s="6" t="s">
        <v>148</v>
      </c>
      <c r="D58" s="20" t="n">
        <v>-6.93708</v>
      </c>
      <c r="E58" s="20" t="n">
        <v>107.553543</v>
      </c>
      <c r="F58" s="21" t="n">
        <f aca="false">2*6371000*ASIN(SQRT(SIN(RADIANS(D58-'Sources &amp; Method'!$B$28)/2)^2+COS(RADIANS('Sources &amp; Method'!$B$28))*COS(RADIANS(D58))*SIN(RADIANS(E58-'Sources &amp; Method'!$B$29)/2)^2))</f>
        <v>16432.1876984193</v>
      </c>
      <c r="G58" s="22" t="n">
        <v>44</v>
      </c>
      <c r="H58" s="22" t="n">
        <v>25</v>
      </c>
      <c r="I58" s="23" t="n">
        <f aca="false">IF(G58=0,0,H58/G58)</f>
        <v>0.568181818181818</v>
      </c>
      <c r="J58" s="24" t="n">
        <v>42.914</v>
      </c>
      <c r="K58" s="24" t="n">
        <v>45.415</v>
      </c>
      <c r="L58" s="24" t="n">
        <v>68.33</v>
      </c>
      <c r="M58" s="22" t="n">
        <v>5</v>
      </c>
      <c r="N58" s="22" t="n">
        <v>4</v>
      </c>
      <c r="O58" s="25" t="n">
        <v>4</v>
      </c>
      <c r="P58" s="26" t="n">
        <f aca="false">'Sources &amp; Method'!$B$19</f>
        <v>0.3</v>
      </c>
      <c r="Q58" s="18" t="n">
        <f aca="false">IF(J58&gt;80,NORMSDIST((Calculator!$B$22-J58)/SQRT((0.3*'Sources &amp; Method'!$B$16)^2+'Sources &amp; Method'!$B$17^2)),(1-P58)*NORMSDIST((Calculator!$B$22-(J58+1))/SQRT((0.3*'Sources &amp; Method'!$B$16)^2+'Sources &amp; Method'!$B$18^2))+P58*NORMSDIST((Calculator!$B$22-85)/SQRT((0.3*'Sources &amp; Method'!$B$16)^2+2.5^2)))</f>
        <v>0.974011137199435</v>
      </c>
      <c r="R58" s="18" t="n">
        <f aca="false">IF(J58&gt;80,NORMSDIST((Calculator!$B$51-J58)/SQRT((0.3*'Sources &amp; Method'!$B$16)^2+'Sources &amp; Method'!$B$17^2)),(1-P58)*NORMSDIST((Calculator!$B$51-(J58+1))/SQRT((0.3*'Sources &amp; Method'!$B$16)^2+'Sources &amp; Method'!$B$18^2))+P58*NORMSDIST((Calculator!$B$51-85)/SQRT((0.3*'Sources &amp; Method'!$B$16)^2+2.5^2)))</f>
        <v>0.501929451303954</v>
      </c>
      <c r="S58" s="18" t="n">
        <f aca="false">IF(OR(M58=0,O58="",Calculator!$B$25=0),0,IF(Calculator!$B$25&gt;=999,'Sources &amp; Method'!$B$21,MIN('Sources &amp; Method'!$B$21,NORMSDIST((Calculator!$B$25-O58+0.5)/'Sources &amp; Method'!$B$20))))</f>
        <v>0</v>
      </c>
      <c r="T58" s="18" t="n">
        <f aca="false">IF(OR(M58=0,O58="",Calculator!$B$54=0),0,IF(Calculator!$B$54&gt;=999,'Sources &amp; Method'!$B$21,MIN('Sources &amp; Method'!$B$21,NORMSDIST((Calculator!$B$54-O58+0.5)/'Sources &amp; Method'!$B$20))))</f>
        <v>0.97</v>
      </c>
      <c r="U58" s="17" t="n">
        <f aca="false">RANK(J58,$J$2:$J$76)</f>
        <v>67</v>
      </c>
    </row>
    <row r="59" customFormat="false" ht="15" hidden="false" customHeight="false" outlineLevel="0" collapsed="false">
      <c r="A59" s="6" t="s">
        <v>259</v>
      </c>
      <c r="B59" s="6" t="s">
        <v>260</v>
      </c>
      <c r="C59" s="6" t="s">
        <v>164</v>
      </c>
      <c r="D59" s="20" t="n">
        <v>-6.925577</v>
      </c>
      <c r="E59" s="20" t="n">
        <v>107.687942</v>
      </c>
      <c r="F59" s="21" t="n">
        <f aca="false">2*6371000*ASIN(SQRT(SIN(RADIANS(D59-'Sources &amp; Method'!$B$28)/2)^2+COS(RADIANS('Sources &amp; Method'!$B$28))*COS(RADIANS(D59))*SIN(RADIANS(E59-'Sources &amp; Method'!$B$29)/2)^2))</f>
        <v>1930.01958931622</v>
      </c>
      <c r="G59" s="22" t="n">
        <v>24</v>
      </c>
      <c r="H59" s="22" t="n">
        <v>6</v>
      </c>
      <c r="I59" s="23" t="n">
        <f aca="false">IF(G59=0,0,H59/G59)</f>
        <v>0.25</v>
      </c>
      <c r="J59" s="24" t="n">
        <v>45.948</v>
      </c>
      <c r="K59" s="24" t="n">
        <v>48.933</v>
      </c>
      <c r="L59" s="24" t="n">
        <v>75</v>
      </c>
      <c r="M59" s="22" t="n">
        <v>1</v>
      </c>
      <c r="N59" s="22" t="n">
        <v>0</v>
      </c>
      <c r="O59" s="25" t="n">
        <v>5</v>
      </c>
      <c r="P59" s="26" t="n">
        <f aca="false">MIN(0.6,COUNTIF(INDEX('Report 2023-2025'!$B$2:$D$20,MATCH(A59,'Report 2023-2025'!$A$2:$A$20,0),0),"&gt;80")/4*0.6)</f>
        <v>0.3</v>
      </c>
      <c r="Q59" s="18" t="n">
        <f aca="false">IF(J59&gt;80,NORMSDIST((Calculator!$B$22-J59)/SQRT((0.3*'Sources &amp; Method'!$B$16)^2+'Sources &amp; Method'!$B$17^2)),(1-P59)*NORMSDIST((Calculator!$B$22-(J59+1))/SQRT((0.3*'Sources &amp; Method'!$B$16)^2+'Sources &amp; Method'!$B$18^2))+P59*NORMSDIST((Calculator!$B$22-85)/SQRT((0.3*'Sources &amp; Method'!$B$16)^2+2.5^2)))</f>
        <v>0.974011137199435</v>
      </c>
      <c r="R59" s="18" t="n">
        <f aca="false">IF(J59&gt;80,NORMSDIST((Calculator!$B$51-J59)/SQRT((0.3*'Sources &amp; Method'!$B$16)^2+'Sources &amp; Method'!$B$17^2)),(1-P59)*NORMSDIST((Calculator!$B$51-(J59+1))/SQRT((0.3*'Sources &amp; Method'!$B$16)^2+'Sources &amp; Method'!$B$18^2))+P59*NORMSDIST((Calculator!$B$51-85)/SQRT((0.3*'Sources &amp; Method'!$B$16)^2+2.5^2)))</f>
        <v>0.279704537497821</v>
      </c>
      <c r="S59" s="18" t="n">
        <f aca="false">IF(OR(M59=0,O59="",Calculator!$B$25=0),0,IF(Calculator!$B$25&gt;=999,'Sources &amp; Method'!$B$21,MIN('Sources &amp; Method'!$B$21,NORMSDIST((Calculator!$B$25-O59+0.5)/'Sources &amp; Method'!$B$20))))</f>
        <v>0</v>
      </c>
      <c r="T59" s="18" t="n">
        <f aca="false">IF(OR(M59=0,O59="",Calculator!$B$54=0),0,IF(Calculator!$B$54&gt;=999,'Sources &amp; Method'!$B$21,MIN('Sources &amp; Method'!$B$21,NORMSDIST((Calculator!$B$54-O59+0.5)/'Sources &amp; Method'!$B$20))))</f>
        <v>0.97</v>
      </c>
      <c r="U59" s="17" t="n">
        <f aca="false">RANK(J59,$J$2:$J$76)</f>
        <v>50</v>
      </c>
    </row>
    <row r="60" customFormat="false" ht="15" hidden="false" customHeight="false" outlineLevel="0" collapsed="false">
      <c r="A60" s="6" t="s">
        <v>261</v>
      </c>
      <c r="B60" s="6" t="s">
        <v>262</v>
      </c>
      <c r="C60" s="6" t="s">
        <v>164</v>
      </c>
      <c r="D60" s="20" t="n">
        <v>-6.9007</v>
      </c>
      <c r="E60" s="20" t="n">
        <v>107.659524</v>
      </c>
      <c r="F60" s="21" t="n">
        <f aca="false">2*6371000*ASIN(SQRT(SIN(RADIANS(D60-'Sources &amp; Method'!$B$28)/2)^2+COS(RADIANS('Sources &amp; Method'!$B$28))*COS(RADIANS(D60))*SIN(RADIANS(E60-'Sources &amp; Method'!$B$29)/2)^2))</f>
        <v>4741.89936233202</v>
      </c>
      <c r="G60" s="22" t="n">
        <v>41</v>
      </c>
      <c r="H60" s="22" t="n">
        <v>12</v>
      </c>
      <c r="I60" s="23" t="n">
        <f aca="false">IF(G60=0,0,H60/G60)</f>
        <v>0.292682926829268</v>
      </c>
      <c r="J60" s="24" t="n">
        <v>46.152</v>
      </c>
      <c r="K60" s="24" t="n">
        <v>50.706</v>
      </c>
      <c r="L60" s="24" t="n">
        <v>71.67</v>
      </c>
      <c r="M60" s="22" t="n">
        <v>12</v>
      </c>
      <c r="N60" s="22" t="n">
        <v>5</v>
      </c>
      <c r="O60" s="25" t="n">
        <v>1</v>
      </c>
      <c r="P60" s="26" t="n">
        <f aca="false">MIN(0.6,COUNTIF(INDEX('Report 2023-2025'!$B$2:$D$20,MATCH(A60,'Report 2023-2025'!$A$2:$A$20,0),0),"&gt;80")/4*0.6)</f>
        <v>0.3</v>
      </c>
      <c r="Q60" s="18" t="n">
        <f aca="false">IF(J60&gt;80,NORMSDIST((Calculator!$B$22-J60)/SQRT((0.3*'Sources &amp; Method'!$B$16)^2+'Sources &amp; Method'!$B$17^2)),(1-P60)*NORMSDIST((Calculator!$B$22-(J60+1))/SQRT((0.3*'Sources &amp; Method'!$B$16)^2+'Sources &amp; Method'!$B$18^2))+P60*NORMSDIST((Calculator!$B$22-85)/SQRT((0.3*'Sources &amp; Method'!$B$16)^2+2.5^2)))</f>
        <v>0.974011137199435</v>
      </c>
      <c r="R60" s="18" t="n">
        <f aca="false">IF(J60&gt;80,NORMSDIST((Calculator!$B$51-J60)/SQRT((0.3*'Sources &amp; Method'!$B$16)^2+'Sources &amp; Method'!$B$17^2)),(1-P60)*NORMSDIST((Calculator!$B$51-(J60+1))/SQRT((0.3*'Sources &amp; Method'!$B$16)^2+'Sources &amp; Method'!$B$18^2))+P60*NORMSDIST((Calculator!$B$51-85)/SQRT((0.3*'Sources &amp; Method'!$B$16)^2+2.5^2)))</f>
        <v>0.264757063612954</v>
      </c>
      <c r="S60" s="18" t="n">
        <f aca="false">IF(OR(M60=0,O60="",Calculator!$B$25=0),0,IF(Calculator!$B$25&gt;=999,'Sources &amp; Method'!$B$21,MIN('Sources &amp; Method'!$B$21,NORMSDIST((Calculator!$B$25-O60+0.5)/'Sources &amp; Method'!$B$20))))</f>
        <v>0</v>
      </c>
      <c r="T60" s="18" t="n">
        <f aca="false">IF(OR(M60=0,O60="",Calculator!$B$54=0),0,IF(Calculator!$B$54&gt;=999,'Sources &amp; Method'!$B$21,MIN('Sources &amp; Method'!$B$21,NORMSDIST((Calculator!$B$54-O60+0.5)/'Sources &amp; Method'!$B$20))))</f>
        <v>0.97</v>
      </c>
      <c r="U60" s="17" t="n">
        <f aca="false">RANK(J60,$J$2:$J$76)</f>
        <v>48</v>
      </c>
    </row>
    <row r="61" customFormat="false" ht="15" hidden="false" customHeight="false" outlineLevel="0" collapsed="false">
      <c r="A61" s="6" t="s">
        <v>263</v>
      </c>
      <c r="B61" s="6" t="s">
        <v>264</v>
      </c>
      <c r="C61" s="6" t="s">
        <v>154</v>
      </c>
      <c r="D61" s="20" t="n">
        <v>-6.9595</v>
      </c>
      <c r="E61" s="20" t="n">
        <v>107.6158</v>
      </c>
      <c r="F61" s="21" t="n">
        <f aca="false">2*6371000*ASIN(SQRT(SIN(RADIANS(D61-'Sources &amp; Method'!$B$28)/2)^2+COS(RADIANS('Sources &amp; Method'!$B$28))*COS(RADIANS(D61))*SIN(RADIANS(E61-'Sources &amp; Method'!$B$29)/2)^2))</f>
        <v>10657.007839969</v>
      </c>
      <c r="G61" s="22" t="n">
        <v>31</v>
      </c>
      <c r="H61" s="22" t="n">
        <v>9</v>
      </c>
      <c r="I61" s="23" t="n">
        <f aca="false">IF(G61=0,0,H61/G61)</f>
        <v>0.290322580645161</v>
      </c>
      <c r="J61" s="24" t="n">
        <v>44.623</v>
      </c>
      <c r="K61" s="24" t="n">
        <v>80.946</v>
      </c>
      <c r="L61" s="24" t="n">
        <v>68.33</v>
      </c>
      <c r="M61" s="22" t="n">
        <v>2</v>
      </c>
      <c r="N61" s="22" t="n">
        <v>1</v>
      </c>
      <c r="O61" s="25" t="n">
        <v>3</v>
      </c>
      <c r="P61" s="26" t="n">
        <f aca="false">'Sources &amp; Method'!$B$19</f>
        <v>0.3</v>
      </c>
      <c r="Q61" s="18" t="n">
        <f aca="false">IF(J61&gt;80,NORMSDIST((Calculator!$B$22-J61)/SQRT((0.3*'Sources &amp; Method'!$B$16)^2+'Sources &amp; Method'!$B$17^2)),(1-P61)*NORMSDIST((Calculator!$B$22-(J61+1))/SQRT((0.3*'Sources &amp; Method'!$B$16)^2+'Sources &amp; Method'!$B$18^2))+P61*NORMSDIST((Calculator!$B$22-85)/SQRT((0.3*'Sources &amp; Method'!$B$16)^2+2.5^2)))</f>
        <v>0.974011137199435</v>
      </c>
      <c r="R61" s="18" t="n">
        <f aca="false">IF(J61&gt;80,NORMSDIST((Calculator!$B$51-J61)/SQRT((0.3*'Sources &amp; Method'!$B$16)^2+'Sources &amp; Method'!$B$17^2)),(1-P61)*NORMSDIST((Calculator!$B$51-(J61+1))/SQRT((0.3*'Sources &amp; Method'!$B$16)^2+'Sources &amp; Method'!$B$18^2))+P61*NORMSDIST((Calculator!$B$51-85)/SQRT((0.3*'Sources &amp; Method'!$B$16)^2+2.5^2)))</f>
        <v>0.37993149215171</v>
      </c>
      <c r="S61" s="18" t="n">
        <f aca="false">IF(OR(M61=0,O61="",Calculator!$B$25=0),0,IF(Calculator!$B$25&gt;=999,'Sources &amp; Method'!$B$21,MIN('Sources &amp; Method'!$B$21,NORMSDIST((Calculator!$B$25-O61+0.5)/'Sources &amp; Method'!$B$20))))</f>
        <v>0</v>
      </c>
      <c r="T61" s="18" t="n">
        <f aca="false">IF(OR(M61=0,O61="",Calculator!$B$54=0),0,IF(Calculator!$B$54&gt;=999,'Sources &amp; Method'!$B$21,MIN('Sources &amp; Method'!$B$21,NORMSDIST((Calculator!$B$54-O61+0.5)/'Sources &amp; Method'!$B$20))))</f>
        <v>0.97</v>
      </c>
      <c r="U61" s="17" t="n">
        <f aca="false">RANK(J61,$J$2:$J$76)</f>
        <v>60</v>
      </c>
    </row>
    <row r="62" customFormat="false" ht="15" hidden="false" customHeight="false" outlineLevel="0" collapsed="false">
      <c r="A62" s="6" t="s">
        <v>265</v>
      </c>
      <c r="B62" s="6" t="s">
        <v>266</v>
      </c>
      <c r="C62" s="6" t="s">
        <v>151</v>
      </c>
      <c r="D62" s="20" t="n">
        <v>-6.903275</v>
      </c>
      <c r="E62" s="20" t="n">
        <v>107.647979</v>
      </c>
      <c r="F62" s="21" t="n">
        <f aca="false">2*6371000*ASIN(SQRT(SIN(RADIANS(D62-'Sources &amp; Method'!$B$28)/2)^2+COS(RADIANS('Sources &amp; Method'!$B$28))*COS(RADIANS(D62))*SIN(RADIANS(E62-'Sources &amp; Method'!$B$29)/2)^2))</f>
        <v>5908.10076933785</v>
      </c>
      <c r="G62" s="22" t="n">
        <v>47</v>
      </c>
      <c r="H62" s="22" t="n">
        <v>16</v>
      </c>
      <c r="I62" s="23" t="n">
        <f aca="false">IF(G62=0,0,H62/G62)</f>
        <v>0.340425531914894</v>
      </c>
      <c r="J62" s="24" t="n">
        <v>43.917</v>
      </c>
      <c r="K62" s="24" t="n">
        <v>46.48</v>
      </c>
      <c r="L62" s="24" t="n">
        <v>68.34</v>
      </c>
      <c r="M62" s="22" t="n">
        <v>10</v>
      </c>
      <c r="N62" s="22" t="n">
        <v>6</v>
      </c>
      <c r="O62" s="25" t="n">
        <v>4</v>
      </c>
      <c r="P62" s="26" t="n">
        <f aca="false">'Sources &amp; Method'!$B$19</f>
        <v>0.3</v>
      </c>
      <c r="Q62" s="18" t="n">
        <f aca="false">IF(J62&gt;80,NORMSDIST((Calculator!$B$22-J62)/SQRT((0.3*'Sources &amp; Method'!$B$16)^2+'Sources &amp; Method'!$B$17^2)),(1-P62)*NORMSDIST((Calculator!$B$22-(J62+1))/SQRT((0.3*'Sources &amp; Method'!$B$16)^2+'Sources &amp; Method'!$B$18^2))+P62*NORMSDIST((Calculator!$B$22-85)/SQRT((0.3*'Sources &amp; Method'!$B$16)^2+2.5^2)))</f>
        <v>0.974011137199435</v>
      </c>
      <c r="R62" s="18" t="n">
        <f aca="false">IF(J62&gt;80,NORMSDIST((Calculator!$B$51-J62)/SQRT((0.3*'Sources &amp; Method'!$B$16)^2+'Sources &amp; Method'!$B$17^2)),(1-P62)*NORMSDIST((Calculator!$B$51-(J62+1))/SQRT((0.3*'Sources &amp; Method'!$B$16)^2+'Sources &amp; Method'!$B$18^2))+P62*NORMSDIST((Calculator!$B$51-85)/SQRT((0.3*'Sources &amp; Method'!$B$16)^2+2.5^2)))</f>
        <v>0.432586110377556</v>
      </c>
      <c r="S62" s="18" t="n">
        <f aca="false">IF(OR(M62=0,O62="",Calculator!$B$25=0),0,IF(Calculator!$B$25&gt;=999,'Sources &amp; Method'!$B$21,MIN('Sources &amp; Method'!$B$21,NORMSDIST((Calculator!$B$25-O62+0.5)/'Sources &amp; Method'!$B$20))))</f>
        <v>0</v>
      </c>
      <c r="T62" s="18" t="n">
        <f aca="false">IF(OR(M62=0,O62="",Calculator!$B$54=0),0,IF(Calculator!$B$54&gt;=999,'Sources &amp; Method'!$B$21,MIN('Sources &amp; Method'!$B$21,NORMSDIST((Calculator!$B$54-O62+0.5)/'Sources &amp; Method'!$B$20))))</f>
        <v>0.97</v>
      </c>
      <c r="U62" s="17" t="n">
        <f aca="false">RANK(J62,$J$2:$J$76)</f>
        <v>62</v>
      </c>
    </row>
    <row r="63" customFormat="false" ht="15" hidden="false" customHeight="false" outlineLevel="0" collapsed="false">
      <c r="A63" s="6" t="s">
        <v>267</v>
      </c>
      <c r="B63" s="6" t="s">
        <v>268</v>
      </c>
      <c r="C63" s="6" t="s">
        <v>154</v>
      </c>
      <c r="D63" s="20" t="n">
        <v>-6.941986</v>
      </c>
      <c r="E63" s="20" t="n">
        <v>107.633786</v>
      </c>
      <c r="F63" s="21" t="n">
        <f aca="false">2*6371000*ASIN(SQRT(SIN(RADIANS(D63-'Sources &amp; Method'!$B$28)/2)^2+COS(RADIANS('Sources &amp; Method'!$B$28))*COS(RADIANS(D63))*SIN(RADIANS(E63-'Sources &amp; Method'!$B$29)/2)^2))</f>
        <v>8016.41980703491</v>
      </c>
      <c r="G63" s="22" t="n">
        <v>16</v>
      </c>
      <c r="H63" s="22" t="n">
        <v>5</v>
      </c>
      <c r="I63" s="23" t="n">
        <f aca="false">IF(G63=0,0,H63/G63)</f>
        <v>0.3125</v>
      </c>
      <c r="J63" s="24" t="n">
        <v>45.199</v>
      </c>
      <c r="K63" s="24" t="n">
        <v>46.683</v>
      </c>
      <c r="L63" s="24" t="n">
        <v>70</v>
      </c>
      <c r="M63" s="22" t="n">
        <v>1</v>
      </c>
      <c r="N63" s="22" t="n">
        <v>1</v>
      </c>
      <c r="O63" s="25" t="n">
        <v>12</v>
      </c>
      <c r="P63" s="26" t="n">
        <f aca="false">'Sources &amp; Method'!$B$19</f>
        <v>0.3</v>
      </c>
      <c r="Q63" s="18" t="n">
        <f aca="false">IF(J63&gt;80,NORMSDIST((Calculator!$B$22-J63)/SQRT((0.3*'Sources &amp; Method'!$B$16)^2+'Sources &amp; Method'!$B$17^2)),(1-P63)*NORMSDIST((Calculator!$B$22-(J63+1))/SQRT((0.3*'Sources &amp; Method'!$B$16)^2+'Sources &amp; Method'!$B$18^2))+P63*NORMSDIST((Calculator!$B$22-85)/SQRT((0.3*'Sources &amp; Method'!$B$16)^2+2.5^2)))</f>
        <v>0.974011137199435</v>
      </c>
      <c r="R63" s="18" t="n">
        <f aca="false">IF(J63&gt;80,NORMSDIST((Calculator!$B$51-J63)/SQRT((0.3*'Sources &amp; Method'!$B$16)^2+'Sources &amp; Method'!$B$17^2)),(1-P63)*NORMSDIST((Calculator!$B$51-(J63+1))/SQRT((0.3*'Sources &amp; Method'!$B$16)^2+'Sources &amp; Method'!$B$18^2))+P63*NORMSDIST((Calculator!$B$51-85)/SQRT((0.3*'Sources &amp; Method'!$B$16)^2+2.5^2)))</f>
        <v>0.336069366572411</v>
      </c>
      <c r="S63" s="18" t="n">
        <f aca="false">IF(OR(M63=0,O63="",Calculator!$B$25=0),0,IF(Calculator!$B$25&gt;=999,'Sources &amp; Method'!$B$21,MIN('Sources &amp; Method'!$B$21,NORMSDIST((Calculator!$B$25-O63+0.5)/'Sources &amp; Method'!$B$20))))</f>
        <v>0</v>
      </c>
      <c r="T63" s="18" t="n">
        <f aca="false">IF(OR(M63=0,O63="",Calculator!$B$54=0),0,IF(Calculator!$B$54&gt;=999,'Sources &amp; Method'!$B$21,MIN('Sources &amp; Method'!$B$21,NORMSDIST((Calculator!$B$54-O63+0.5)/'Sources &amp; Method'!$B$20))))</f>
        <v>0.97</v>
      </c>
      <c r="U63" s="17" t="n">
        <f aca="false">RANK(J63,$J$2:$J$76)</f>
        <v>56</v>
      </c>
    </row>
    <row r="64" customFormat="false" ht="15" hidden="false" customHeight="false" outlineLevel="0" collapsed="false">
      <c r="A64" s="6" t="s">
        <v>269</v>
      </c>
      <c r="B64" s="6" t="s">
        <v>270</v>
      </c>
      <c r="C64" s="6" t="s">
        <v>151</v>
      </c>
      <c r="D64" s="20" t="n">
        <v>-6.900035</v>
      </c>
      <c r="E64" s="20" t="n">
        <v>107.629431</v>
      </c>
      <c r="F64" s="21" t="n">
        <f aca="false">2*6371000*ASIN(SQRT(SIN(RADIANS(D64-'Sources &amp; Method'!$B$28)/2)^2+COS(RADIANS('Sources &amp; Method'!$B$28))*COS(RADIANS(D64))*SIN(RADIANS(E64-'Sources &amp; Method'!$B$29)/2)^2))</f>
        <v>7986.76016263985</v>
      </c>
      <c r="G64" s="22" t="n">
        <v>27</v>
      </c>
      <c r="H64" s="22" t="n">
        <v>8</v>
      </c>
      <c r="I64" s="23" t="n">
        <f aca="false">IF(G64=0,0,H64/G64)</f>
        <v>0.296296296296296</v>
      </c>
      <c r="J64" s="24" t="n">
        <v>45.959</v>
      </c>
      <c r="K64" s="24" t="n">
        <v>47.385</v>
      </c>
      <c r="L64" s="24" t="n">
        <v>71.66</v>
      </c>
      <c r="M64" s="22" t="n">
        <v>6</v>
      </c>
      <c r="N64" s="22" t="n">
        <v>2</v>
      </c>
      <c r="O64" s="25" t="n">
        <v>8</v>
      </c>
      <c r="P64" s="26" t="n">
        <f aca="false">'Sources &amp; Method'!$B$19</f>
        <v>0.3</v>
      </c>
      <c r="Q64" s="18" t="n">
        <f aca="false">IF(J64&gt;80,NORMSDIST((Calculator!$B$22-J64)/SQRT((0.3*'Sources &amp; Method'!$B$16)^2+'Sources &amp; Method'!$B$17^2)),(1-P64)*NORMSDIST((Calculator!$B$22-(J64+1))/SQRT((0.3*'Sources &amp; Method'!$B$16)^2+'Sources &amp; Method'!$B$18^2))+P64*NORMSDIST((Calculator!$B$22-85)/SQRT((0.3*'Sources &amp; Method'!$B$16)^2+2.5^2)))</f>
        <v>0.974011137199435</v>
      </c>
      <c r="R64" s="18" t="n">
        <f aca="false">IF(J64&gt;80,NORMSDIST((Calculator!$B$51-J64)/SQRT((0.3*'Sources &amp; Method'!$B$16)^2+'Sources &amp; Method'!$B$17^2)),(1-P64)*NORMSDIST((Calculator!$B$51-(J64+1))/SQRT((0.3*'Sources &amp; Method'!$B$16)^2+'Sources &amp; Method'!$B$18^2))+P64*NORMSDIST((Calculator!$B$51-85)/SQRT((0.3*'Sources &amp; Method'!$B$16)^2+2.5^2)))</f>
        <v>0.278892713718343</v>
      </c>
      <c r="S64" s="18" t="n">
        <f aca="false">IF(OR(M64=0,O64="",Calculator!$B$25=0),0,IF(Calculator!$B$25&gt;=999,'Sources &amp; Method'!$B$21,MIN('Sources &amp; Method'!$B$21,NORMSDIST((Calculator!$B$25-O64+0.5)/'Sources &amp; Method'!$B$20))))</f>
        <v>0</v>
      </c>
      <c r="T64" s="18" t="n">
        <f aca="false">IF(OR(M64=0,O64="",Calculator!$B$54=0),0,IF(Calculator!$B$54&gt;=999,'Sources &amp; Method'!$B$21,MIN('Sources &amp; Method'!$B$21,NORMSDIST((Calculator!$B$54-O64+0.5)/'Sources &amp; Method'!$B$20))))</f>
        <v>0.97</v>
      </c>
      <c r="U64" s="17" t="n">
        <f aca="false">RANK(J64,$J$2:$J$76)</f>
        <v>49</v>
      </c>
    </row>
    <row r="65" customFormat="false" ht="15" hidden="false" customHeight="false" outlineLevel="0" collapsed="false">
      <c r="A65" s="6" t="s">
        <v>271</v>
      </c>
      <c r="B65" s="6" t="s">
        <v>272</v>
      </c>
      <c r="C65" s="6" t="s">
        <v>151</v>
      </c>
      <c r="D65" s="20" t="n">
        <v>-6.891396</v>
      </c>
      <c r="E65" s="20" t="n">
        <v>107.580202</v>
      </c>
      <c r="F65" s="21" t="n">
        <f aca="false">2*6371000*ASIN(SQRT(SIN(RADIANS(D65-'Sources &amp; Method'!$B$28)/2)^2+COS(RADIANS('Sources &amp; Method'!$B$28))*COS(RADIANS(D65))*SIN(RADIANS(E65-'Sources &amp; Method'!$B$29)/2)^2))</f>
        <v>13505.1176134715</v>
      </c>
      <c r="G65" s="22" t="n">
        <v>18</v>
      </c>
      <c r="H65" s="22" t="n">
        <v>8</v>
      </c>
      <c r="I65" s="23" t="n">
        <f aca="false">IF(G65=0,0,H65/G65)</f>
        <v>0.444444444444444</v>
      </c>
      <c r="J65" s="24" t="n">
        <v>45.51</v>
      </c>
      <c r="K65" s="24" t="n">
        <v>47.048</v>
      </c>
      <c r="L65" s="24" t="n">
        <v>70</v>
      </c>
      <c r="M65" s="22" t="n">
        <v>7</v>
      </c>
      <c r="N65" s="22" t="n">
        <v>5</v>
      </c>
      <c r="O65" s="25" t="n">
        <v>4</v>
      </c>
      <c r="P65" s="26" t="n">
        <f aca="false">'Sources &amp; Method'!$B$19</f>
        <v>0.3</v>
      </c>
      <c r="Q65" s="18" t="n">
        <f aca="false">IF(J65&gt;80,NORMSDIST((Calculator!$B$22-J65)/SQRT((0.3*'Sources &amp; Method'!$B$16)^2+'Sources &amp; Method'!$B$17^2)),(1-P65)*NORMSDIST((Calculator!$B$22-(J65+1))/SQRT((0.3*'Sources &amp; Method'!$B$16)^2+'Sources &amp; Method'!$B$18^2))+P65*NORMSDIST((Calculator!$B$22-85)/SQRT((0.3*'Sources &amp; Method'!$B$16)^2+2.5^2)))</f>
        <v>0.974011137199435</v>
      </c>
      <c r="R65" s="18" t="n">
        <f aca="false">IF(J65&gt;80,NORMSDIST((Calculator!$B$51-J65)/SQRT((0.3*'Sources &amp; Method'!$B$16)^2+'Sources &amp; Method'!$B$17^2)),(1-P65)*NORMSDIST((Calculator!$B$51-(J65+1))/SQRT((0.3*'Sources &amp; Method'!$B$16)^2+'Sources &amp; Method'!$B$18^2))+P65*NORMSDIST((Calculator!$B$51-85)/SQRT((0.3*'Sources &amp; Method'!$B$16)^2+2.5^2)))</f>
        <v>0.312460668647404</v>
      </c>
      <c r="S65" s="18" t="n">
        <f aca="false">IF(OR(M65=0,O65="",Calculator!$B$25=0),0,IF(Calculator!$B$25&gt;=999,'Sources &amp; Method'!$B$21,MIN('Sources &amp; Method'!$B$21,NORMSDIST((Calculator!$B$25-O65+0.5)/'Sources &amp; Method'!$B$20))))</f>
        <v>0</v>
      </c>
      <c r="T65" s="18" t="n">
        <f aca="false">IF(OR(M65=0,O65="",Calculator!$B$54=0),0,IF(Calculator!$B$54&gt;=999,'Sources &amp; Method'!$B$21,MIN('Sources &amp; Method'!$B$21,NORMSDIST((Calculator!$B$54-O65+0.5)/'Sources &amp; Method'!$B$20))))</f>
        <v>0.97</v>
      </c>
      <c r="U65" s="17" t="n">
        <f aca="false">RANK(J65,$J$2:$J$76)</f>
        <v>55</v>
      </c>
    </row>
    <row r="66" customFormat="false" ht="15" hidden="false" customHeight="false" outlineLevel="0" collapsed="false">
      <c r="A66" s="6" t="s">
        <v>273</v>
      </c>
      <c r="B66" s="6" t="s">
        <v>274</v>
      </c>
      <c r="C66" s="6" t="s">
        <v>164</v>
      </c>
      <c r="D66" s="20" t="n">
        <v>-6.966734</v>
      </c>
      <c r="E66" s="20" t="n">
        <v>107.666709</v>
      </c>
      <c r="F66" s="21" t="n">
        <f aca="false">2*6371000*ASIN(SQRT(SIN(RADIANS(D66-'Sources &amp; Method'!$B$28)/2)^2+COS(RADIANS('Sources &amp; Method'!$B$28))*COS(RADIANS(D66))*SIN(RADIANS(E66-'Sources &amp; Method'!$B$29)/2)^2))</f>
        <v>6996.46679177641</v>
      </c>
      <c r="G66" s="22" t="n">
        <v>32</v>
      </c>
      <c r="H66" s="22" t="n">
        <v>3</v>
      </c>
      <c r="I66" s="23" t="n">
        <f aca="false">IF(G66=0,0,H66/G66)</f>
        <v>0.09375</v>
      </c>
      <c r="J66" s="24" t="n">
        <v>43.116</v>
      </c>
      <c r="K66" s="24" t="n">
        <v>45.356</v>
      </c>
      <c r="L66" s="24" t="n">
        <v>68.33</v>
      </c>
      <c r="M66" s="22" t="n">
        <v>1</v>
      </c>
      <c r="N66" s="22" t="n">
        <v>0</v>
      </c>
      <c r="O66" s="25" t="n">
        <v>4</v>
      </c>
      <c r="P66" s="26" t="n">
        <f aca="false">MIN(0.6,COUNTIF(INDEX('Report 2023-2025'!$B$2:$D$20,MATCH(A66,'Report 2023-2025'!$A$2:$A$20,0),0),"&gt;80")/4*0.6)</f>
        <v>0</v>
      </c>
      <c r="Q66" s="18" t="n">
        <f aca="false">IF(J66&gt;80,NORMSDIST((Calculator!$B$22-J66)/SQRT((0.3*'Sources &amp; Method'!$B$16)^2+'Sources &amp; Method'!$B$17^2)),(1-P66)*NORMSDIST((Calculator!$B$22-(J66+1))/SQRT((0.3*'Sources &amp; Method'!$B$16)^2+'Sources &amp; Method'!$B$18^2))+P66*NORMSDIST((Calculator!$B$22-85)/SQRT((0.3*'Sources &amp; Method'!$B$16)^2+2.5^2)))</f>
        <v>1</v>
      </c>
      <c r="R66" s="18" t="n">
        <f aca="false">IF(J66&gt;80,NORMSDIST((Calculator!$B$51-J66)/SQRT((0.3*'Sources &amp; Method'!$B$16)^2+'Sources &amp; Method'!$B$17^2)),(1-P66)*NORMSDIST((Calculator!$B$51-(J66+1))/SQRT((0.3*'Sources &amp; Method'!$B$16)^2+'Sources &amp; Method'!$B$18^2))+P66*NORMSDIST((Calculator!$B$51-85)/SQRT((0.3*'Sources &amp; Method'!$B$16)^2+2.5^2)))</f>
        <v>0.698090044577817</v>
      </c>
      <c r="S66" s="18" t="n">
        <f aca="false">IF(OR(M66=0,O66="",Calculator!$B$25=0),0,IF(Calculator!$B$25&gt;=999,'Sources &amp; Method'!$B$21,MIN('Sources &amp; Method'!$B$21,NORMSDIST((Calculator!$B$25-O66+0.5)/'Sources &amp; Method'!$B$20))))</f>
        <v>0</v>
      </c>
      <c r="T66" s="18" t="n">
        <f aca="false">IF(OR(M66=0,O66="",Calculator!$B$54=0),0,IF(Calculator!$B$54&gt;=999,'Sources &amp; Method'!$B$21,MIN('Sources &amp; Method'!$B$21,NORMSDIST((Calculator!$B$54-O66+0.5)/'Sources &amp; Method'!$B$20))))</f>
        <v>0.97</v>
      </c>
      <c r="U66" s="17" t="n">
        <f aca="false">RANK(J66,$J$2:$J$76)</f>
        <v>63</v>
      </c>
    </row>
    <row r="67" customFormat="false" ht="15" hidden="false" customHeight="false" outlineLevel="0" collapsed="false">
      <c r="A67" s="6" t="s">
        <v>275</v>
      </c>
      <c r="B67" s="6" t="s">
        <v>276</v>
      </c>
      <c r="C67" s="6" t="s">
        <v>164</v>
      </c>
      <c r="D67" s="20" t="n">
        <v>-6.9429</v>
      </c>
      <c r="E67" s="20" t="n">
        <v>107.684388</v>
      </c>
      <c r="F67" s="21" t="n">
        <f aca="false">2*6371000*ASIN(SQRT(SIN(RADIANS(D67-'Sources &amp; Method'!$B$28)/2)^2+COS(RADIANS('Sources &amp; Method'!$B$28))*COS(RADIANS(D67))*SIN(RADIANS(E67-'Sources &amp; Method'!$B$29)/2)^2))</f>
        <v>3721.59183439813</v>
      </c>
      <c r="G67" s="22" t="n">
        <v>50</v>
      </c>
      <c r="H67" s="22" t="n">
        <v>24</v>
      </c>
      <c r="I67" s="23" t="n">
        <f aca="false">IF(G67=0,0,H67/G67)</f>
        <v>0.48</v>
      </c>
      <c r="J67" s="24" t="n">
        <v>42.942</v>
      </c>
      <c r="K67" s="24" t="n">
        <v>46.726</v>
      </c>
      <c r="L67" s="24" t="n">
        <v>68.34</v>
      </c>
      <c r="M67" s="22" t="n">
        <v>3</v>
      </c>
      <c r="N67" s="22" t="n">
        <v>3</v>
      </c>
      <c r="O67" s="25" t="n">
        <v>6</v>
      </c>
      <c r="P67" s="26" t="n">
        <f aca="false">MIN(0.6,COUNTIF(INDEX('Report 2023-2025'!$B$2:$D$20,MATCH(A67,'Report 2023-2025'!$A$2:$A$20,0),0),"&gt;80")/4*0.6)</f>
        <v>0</v>
      </c>
      <c r="Q67" s="18" t="n">
        <f aca="false">IF(J67&gt;80,NORMSDIST((Calculator!$B$22-J67)/SQRT((0.3*'Sources &amp; Method'!$B$16)^2+'Sources &amp; Method'!$B$17^2)),(1-P67)*NORMSDIST((Calculator!$B$22-(J67+1))/SQRT((0.3*'Sources &amp; Method'!$B$16)^2+'Sources &amp; Method'!$B$18^2))+P67*NORMSDIST((Calculator!$B$22-85)/SQRT((0.3*'Sources &amp; Method'!$B$16)^2+2.5^2)))</f>
        <v>1</v>
      </c>
      <c r="R67" s="18" t="n">
        <f aca="false">IF(J67&gt;80,NORMSDIST((Calculator!$B$51-J67)/SQRT((0.3*'Sources &amp; Method'!$B$16)^2+'Sources &amp; Method'!$B$17^2)),(1-P67)*NORMSDIST((Calculator!$B$51-(J67+1))/SQRT((0.3*'Sources &amp; Method'!$B$16)^2+'Sources &amp; Method'!$B$18^2))+P67*NORMSDIST((Calculator!$B$51-85)/SQRT((0.3*'Sources &amp; Method'!$B$16)^2+2.5^2)))</f>
        <v>0.714449452244283</v>
      </c>
      <c r="S67" s="18" t="n">
        <f aca="false">IF(OR(M67=0,O67="",Calculator!$B$25=0),0,IF(Calculator!$B$25&gt;=999,'Sources &amp; Method'!$B$21,MIN('Sources &amp; Method'!$B$21,NORMSDIST((Calculator!$B$25-O67+0.5)/'Sources &amp; Method'!$B$20))))</f>
        <v>0</v>
      </c>
      <c r="T67" s="18" t="n">
        <f aca="false">IF(OR(M67=0,O67="",Calculator!$B$54=0),0,IF(Calculator!$B$54&gt;=999,'Sources &amp; Method'!$B$21,MIN('Sources &amp; Method'!$B$21,NORMSDIST((Calculator!$B$54-O67+0.5)/'Sources &amp; Method'!$B$20))))</f>
        <v>0.97</v>
      </c>
      <c r="U67" s="17" t="n">
        <f aca="false">RANK(J67,$J$2:$J$76)</f>
        <v>66</v>
      </c>
    </row>
    <row r="68" customFormat="false" ht="15" hidden="false" customHeight="false" outlineLevel="0" collapsed="false">
      <c r="A68" s="6" t="s">
        <v>277</v>
      </c>
      <c r="B68" s="6" t="s">
        <v>278</v>
      </c>
      <c r="C68" s="6" t="s">
        <v>148</v>
      </c>
      <c r="D68" s="20" t="n">
        <v>-6.900729</v>
      </c>
      <c r="E68" s="20" t="n">
        <v>107.565522</v>
      </c>
      <c r="F68" s="21" t="n">
        <f aca="false">2*6371000*ASIN(SQRT(SIN(RADIANS(D68-'Sources &amp; Method'!$B$28)/2)^2+COS(RADIANS('Sources &amp; Method'!$B$28))*COS(RADIANS(D68))*SIN(RADIANS(E68-'Sources &amp; Method'!$B$29)/2)^2))</f>
        <v>14967.4590421899</v>
      </c>
      <c r="G68" s="22" t="n">
        <v>22</v>
      </c>
      <c r="H68" s="22" t="n">
        <v>7</v>
      </c>
      <c r="I68" s="23" t="n">
        <f aca="false">IF(G68=0,0,H68/G68)</f>
        <v>0.318181818181818</v>
      </c>
      <c r="J68" s="24" t="n">
        <v>42.441</v>
      </c>
      <c r="K68" s="24" t="n">
        <v>44.782</v>
      </c>
      <c r="L68" s="24" t="n">
        <v>66.67</v>
      </c>
      <c r="M68" s="22" t="n">
        <v>3</v>
      </c>
      <c r="N68" s="22" t="n">
        <v>3</v>
      </c>
      <c r="O68" s="25" t="n">
        <v>8</v>
      </c>
      <c r="P68" s="26" t="n">
        <f aca="false">'Sources &amp; Method'!$B$19</f>
        <v>0.3</v>
      </c>
      <c r="Q68" s="18" t="n">
        <f aca="false">IF(J68&gt;80,NORMSDIST((Calculator!$B$22-J68)/SQRT((0.3*'Sources &amp; Method'!$B$16)^2+'Sources &amp; Method'!$B$17^2)),(1-P68)*NORMSDIST((Calculator!$B$22-(J68+1))/SQRT((0.3*'Sources &amp; Method'!$B$16)^2+'Sources &amp; Method'!$B$18^2))+P68*NORMSDIST((Calculator!$B$22-85)/SQRT((0.3*'Sources &amp; Method'!$B$16)^2+2.5^2)))</f>
        <v>0.974011137199435</v>
      </c>
      <c r="R68" s="18" t="n">
        <f aca="false">IF(J68&gt;80,NORMSDIST((Calculator!$B$51-J68)/SQRT((0.3*'Sources &amp; Method'!$B$16)^2+'Sources &amp; Method'!$B$17^2)),(1-P68)*NORMSDIST((Calculator!$B$51-(J68+1))/SQRT((0.3*'Sources &amp; Method'!$B$16)^2+'Sources &amp; Method'!$B$18^2))+P68*NORMSDIST((Calculator!$B$51-85)/SQRT((0.3*'Sources &amp; Method'!$B$16)^2+2.5^2)))</f>
        <v>0.5313333407423</v>
      </c>
      <c r="S68" s="18" t="n">
        <f aca="false">IF(OR(M68=0,O68="",Calculator!$B$25=0),0,IF(Calculator!$B$25&gt;=999,'Sources &amp; Method'!$B$21,MIN('Sources &amp; Method'!$B$21,NORMSDIST((Calculator!$B$25-O68+0.5)/'Sources &amp; Method'!$B$20))))</f>
        <v>0</v>
      </c>
      <c r="T68" s="18" t="n">
        <f aca="false">IF(OR(M68=0,O68="",Calculator!$B$54=0),0,IF(Calculator!$B$54&gt;=999,'Sources &amp; Method'!$B$21,MIN('Sources &amp; Method'!$B$21,NORMSDIST((Calculator!$B$54-O68+0.5)/'Sources &amp; Method'!$B$20))))</f>
        <v>0.97</v>
      </c>
      <c r="U68" s="17" t="n">
        <f aca="false">RANK(J68,$J$2:$J$76)</f>
        <v>68</v>
      </c>
    </row>
    <row r="69" customFormat="false" ht="15" hidden="false" customHeight="false" outlineLevel="0" collapsed="false">
      <c r="A69" s="6" t="s">
        <v>279</v>
      </c>
      <c r="B69" s="6" t="s">
        <v>280</v>
      </c>
      <c r="C69" s="6" t="s">
        <v>148</v>
      </c>
      <c r="D69" s="20" t="n">
        <v>-6.891734</v>
      </c>
      <c r="E69" s="20" t="n">
        <v>107.578746</v>
      </c>
      <c r="F69" s="21" t="n">
        <f aca="false">2*6371000*ASIN(SQRT(SIN(RADIANS(D69-'Sources &amp; Method'!$B$28)/2)^2+COS(RADIANS('Sources &amp; Method'!$B$28))*COS(RADIANS(D69))*SIN(RADIANS(E69-'Sources &amp; Method'!$B$29)/2)^2))</f>
        <v>13656.4755360769</v>
      </c>
      <c r="G69" s="22" t="n">
        <v>27</v>
      </c>
      <c r="H69" s="22" t="n">
        <v>18</v>
      </c>
      <c r="I69" s="23" t="n">
        <f aca="false">IF(G69=0,0,H69/G69)</f>
        <v>0.666666666666667</v>
      </c>
      <c r="J69" s="24" t="n">
        <v>45.562</v>
      </c>
      <c r="K69" s="24" t="n">
        <v>48.636</v>
      </c>
      <c r="L69" s="24" t="n">
        <v>71.67</v>
      </c>
      <c r="M69" s="22" t="n">
        <v>6</v>
      </c>
      <c r="N69" s="22" t="n">
        <v>3</v>
      </c>
      <c r="O69" s="25" t="n">
        <v>10</v>
      </c>
      <c r="P69" s="26" t="n">
        <f aca="false">'Sources &amp; Method'!$B$19</f>
        <v>0.3</v>
      </c>
      <c r="Q69" s="18" t="n">
        <f aca="false">IF(J69&gt;80,NORMSDIST((Calculator!$B$22-J69)/SQRT((0.3*'Sources &amp; Method'!$B$16)^2+'Sources &amp; Method'!$B$17^2)),(1-P69)*NORMSDIST((Calculator!$B$22-(J69+1))/SQRT((0.3*'Sources &amp; Method'!$B$16)^2+'Sources &amp; Method'!$B$18^2))+P69*NORMSDIST((Calculator!$B$22-85)/SQRT((0.3*'Sources &amp; Method'!$B$16)^2+2.5^2)))</f>
        <v>0.974011137199435</v>
      </c>
      <c r="R69" s="18" t="n">
        <f aca="false">IF(J69&gt;80,NORMSDIST((Calculator!$B$51-J69)/SQRT((0.3*'Sources &amp; Method'!$B$16)^2+'Sources &amp; Method'!$B$17^2)),(1-P69)*NORMSDIST((Calculator!$B$51-(J69+1))/SQRT((0.3*'Sources &amp; Method'!$B$16)^2+'Sources &amp; Method'!$B$18^2))+P69*NORMSDIST((Calculator!$B$51-85)/SQRT((0.3*'Sources &amp; Method'!$B$16)^2+2.5^2)))</f>
        <v>0.308534950413719</v>
      </c>
      <c r="S69" s="18" t="n">
        <f aca="false">IF(OR(M69=0,O69="",Calculator!$B$25=0),0,IF(Calculator!$B$25&gt;=999,'Sources &amp; Method'!$B$21,MIN('Sources &amp; Method'!$B$21,NORMSDIST((Calculator!$B$25-O69+0.5)/'Sources &amp; Method'!$B$20))))</f>
        <v>0</v>
      </c>
      <c r="T69" s="18" t="n">
        <f aca="false">IF(OR(M69=0,O69="",Calculator!$B$54=0),0,IF(Calculator!$B$54&gt;=999,'Sources &amp; Method'!$B$21,MIN('Sources &amp; Method'!$B$21,NORMSDIST((Calculator!$B$54-O69+0.5)/'Sources &amp; Method'!$B$20))))</f>
        <v>0.97</v>
      </c>
      <c r="U69" s="17" t="n">
        <f aca="false">RANK(J69,$J$2:$J$76)</f>
        <v>54</v>
      </c>
    </row>
    <row r="70" customFormat="false" ht="15" hidden="false" customHeight="false" outlineLevel="0" collapsed="false">
      <c r="A70" s="6" t="s">
        <v>281</v>
      </c>
      <c r="B70" s="6" t="s">
        <v>282</v>
      </c>
      <c r="C70" s="6" t="s">
        <v>151</v>
      </c>
      <c r="D70" s="20" t="n">
        <v>-6.88189</v>
      </c>
      <c r="E70" s="20" t="n">
        <v>107.6094</v>
      </c>
      <c r="F70" s="21" t="n">
        <f aca="false">2*6371000*ASIN(SQRT(SIN(RADIANS(D70-'Sources &amp; Method'!$B$28)/2)^2+COS(RADIANS('Sources &amp; Method'!$B$28))*COS(RADIANS(D70))*SIN(RADIANS(E70-'Sources &amp; Method'!$B$29)/2)^2))</f>
        <v>10653.0892119117</v>
      </c>
      <c r="G70" s="22" t="n">
        <v>17</v>
      </c>
      <c r="H70" s="22" t="n">
        <v>5</v>
      </c>
      <c r="I70" s="23" t="n">
        <f aca="false">IF(G70=0,0,H70/G70)</f>
        <v>0.294117647058824</v>
      </c>
      <c r="J70" s="24" t="n">
        <v>37.651</v>
      </c>
      <c r="K70" s="24" t="n">
        <v>41.049</v>
      </c>
      <c r="L70" s="24" t="n">
        <v>55</v>
      </c>
      <c r="M70" s="22" t="n">
        <v>0</v>
      </c>
      <c r="N70" s="22" t="n">
        <v>0</v>
      </c>
      <c r="O70" s="25"/>
      <c r="P70" s="26" t="n">
        <f aca="false">'Sources &amp; Method'!$B$19</f>
        <v>0.3</v>
      </c>
      <c r="Q70" s="18" t="n">
        <f aca="false">IF(J70&gt;80,NORMSDIST((Calculator!$B$22-J70)/SQRT((0.3*'Sources &amp; Method'!$B$16)^2+'Sources &amp; Method'!$B$17^2)),(1-P70)*NORMSDIST((Calculator!$B$22-(J70+1))/SQRT((0.3*'Sources &amp; Method'!$B$16)^2+'Sources &amp; Method'!$B$18^2))+P70*NORMSDIST((Calculator!$B$22-85)/SQRT((0.3*'Sources &amp; Method'!$B$16)^2+2.5^2)))</f>
        <v>0.974011137199435</v>
      </c>
      <c r="R70" s="18" t="n">
        <f aca="false">IF(J70&gt;80,NORMSDIST((Calculator!$B$51-J70)/SQRT((0.3*'Sources &amp; Method'!$B$16)^2+'Sources &amp; Method'!$B$17^2)),(1-P70)*NORMSDIST((Calculator!$B$51-(J70+1))/SQRT((0.3*'Sources &amp; Method'!$B$16)^2+'Sources &amp; Method'!$B$18^2))+P70*NORMSDIST((Calculator!$B$51-85)/SQRT((0.3*'Sources &amp; Method'!$B$16)^2+2.5^2)))</f>
        <v>0.684496535900172</v>
      </c>
      <c r="S70" s="18" t="n">
        <f aca="false">IF(OR(M70=0,O70="",Calculator!$B$25=0),0,IF(Calculator!$B$25&gt;=999,'Sources &amp; Method'!$B$21,MIN('Sources &amp; Method'!$B$21,NORMSDIST((Calculator!$B$25-O70+0.5)/'Sources &amp; Method'!$B$20))))</f>
        <v>0</v>
      </c>
      <c r="T70" s="18" t="n">
        <f aca="false">IF(OR(M70=0,O70="",Calculator!$B$54=0),0,IF(Calculator!$B$54&gt;=999,'Sources &amp; Method'!$B$21,MIN('Sources &amp; Method'!$B$21,NORMSDIST((Calculator!$B$54-O70+0.5)/'Sources &amp; Method'!$B$20))))</f>
        <v>0</v>
      </c>
      <c r="U70" s="17" t="n">
        <f aca="false">RANK(J70,$J$2:$J$76)</f>
        <v>74</v>
      </c>
    </row>
    <row r="71" customFormat="false" ht="15" hidden="false" customHeight="false" outlineLevel="0" collapsed="false">
      <c r="A71" s="6" t="s">
        <v>283</v>
      </c>
      <c r="B71" s="6" t="s">
        <v>284</v>
      </c>
      <c r="C71" s="6" t="s">
        <v>151</v>
      </c>
      <c r="D71" s="20" t="n">
        <v>-6.875399</v>
      </c>
      <c r="E71" s="20" t="n">
        <v>107.580641</v>
      </c>
      <c r="F71" s="21" t="n">
        <f aca="false">2*6371000*ASIN(SQRT(SIN(RADIANS(D71-'Sources &amp; Method'!$B$28)/2)^2+COS(RADIANS('Sources &amp; Method'!$B$28))*COS(RADIANS(D71))*SIN(RADIANS(E71-'Sources &amp; Method'!$B$29)/2)^2))</f>
        <v>13893.071768663</v>
      </c>
      <c r="G71" s="22" t="n">
        <v>28</v>
      </c>
      <c r="H71" s="22" t="n">
        <v>9</v>
      </c>
      <c r="I71" s="23" t="n">
        <f aca="false">IF(G71=0,0,H71/G71)</f>
        <v>0.321428571428571</v>
      </c>
      <c r="J71" s="24" t="n">
        <v>40.334</v>
      </c>
      <c r="K71" s="24" t="n">
        <v>43.72</v>
      </c>
      <c r="L71" s="24" t="n">
        <v>65</v>
      </c>
      <c r="M71" s="22" t="n">
        <v>2</v>
      </c>
      <c r="N71" s="22" t="n">
        <v>2</v>
      </c>
      <c r="O71" s="25" t="n">
        <v>16</v>
      </c>
      <c r="P71" s="26" t="n">
        <f aca="false">'Sources &amp; Method'!$B$19</f>
        <v>0.3</v>
      </c>
      <c r="Q71" s="18" t="n">
        <f aca="false">IF(J71&gt;80,NORMSDIST((Calculator!$B$22-J71)/SQRT((0.3*'Sources &amp; Method'!$B$16)^2+'Sources &amp; Method'!$B$17^2)),(1-P71)*NORMSDIST((Calculator!$B$22-(J71+1))/SQRT((0.3*'Sources &amp; Method'!$B$16)^2+'Sources &amp; Method'!$B$18^2))+P71*NORMSDIST((Calculator!$B$22-85)/SQRT((0.3*'Sources &amp; Method'!$B$16)^2+2.5^2)))</f>
        <v>0.974011137199435</v>
      </c>
      <c r="R71" s="18" t="n">
        <f aca="false">IF(J71&gt;80,NORMSDIST((Calculator!$B$51-J71)/SQRT((0.3*'Sources &amp; Method'!$B$16)^2+'Sources &amp; Method'!$B$17^2)),(1-P71)*NORMSDIST((Calculator!$B$51-(J71+1))/SQRT((0.3*'Sources &amp; Method'!$B$16)^2+'Sources &amp; Method'!$B$18^2))+P71*NORMSDIST((Calculator!$B$51-85)/SQRT((0.3*'Sources &amp; Method'!$B$16)^2+2.5^2)))</f>
        <v>0.629638717630116</v>
      </c>
      <c r="S71" s="18" t="n">
        <f aca="false">IF(OR(M71=0,O71="",Calculator!$B$25=0),0,IF(Calculator!$B$25&gt;=999,'Sources &amp; Method'!$B$21,MIN('Sources &amp; Method'!$B$21,NORMSDIST((Calculator!$B$25-O71+0.5)/'Sources &amp; Method'!$B$20))))</f>
        <v>0</v>
      </c>
      <c r="T71" s="18" t="n">
        <f aca="false">IF(OR(M71=0,O71="",Calculator!$B$54=0),0,IF(Calculator!$B$54&gt;=999,'Sources &amp; Method'!$B$21,MIN('Sources &amp; Method'!$B$21,NORMSDIST((Calculator!$B$54-O71+0.5)/'Sources &amp; Method'!$B$20))))</f>
        <v>0.97</v>
      </c>
      <c r="U71" s="17" t="n">
        <f aca="false">RANK(J71,$J$2:$J$76)</f>
        <v>70</v>
      </c>
    </row>
    <row r="72" customFormat="false" ht="15" hidden="false" customHeight="false" outlineLevel="0" collapsed="false">
      <c r="A72" s="6" t="s">
        <v>285</v>
      </c>
      <c r="B72" s="6" t="s">
        <v>286</v>
      </c>
      <c r="C72" s="6" t="s">
        <v>164</v>
      </c>
      <c r="D72" s="20" t="n">
        <v>-6.921834</v>
      </c>
      <c r="E72" s="20" t="n">
        <v>107.715007</v>
      </c>
      <c r="F72" s="21" t="n">
        <f aca="false">2*6371000*ASIN(SQRT(SIN(RADIANS(D72-'Sources &amp; Method'!$B$28)/2)^2+COS(RADIANS('Sources &amp; Method'!$B$28))*COS(RADIANS(D72))*SIN(RADIANS(E72-'Sources &amp; Method'!$B$29)/2)^2))</f>
        <v>1850.17019817823</v>
      </c>
      <c r="G72" s="22" t="n">
        <v>24</v>
      </c>
      <c r="H72" s="22" t="n">
        <v>2</v>
      </c>
      <c r="I72" s="23" t="n">
        <f aca="false">IF(G72=0,0,H72/G72)</f>
        <v>0.0833333333333333</v>
      </c>
      <c r="J72" s="24" t="n">
        <v>46.292</v>
      </c>
      <c r="K72" s="24" t="n">
        <v>81.629</v>
      </c>
      <c r="L72" s="24" t="n">
        <v>70</v>
      </c>
      <c r="M72" s="22" t="n">
        <v>1</v>
      </c>
      <c r="N72" s="22" t="n">
        <v>0</v>
      </c>
      <c r="O72" s="25" t="n">
        <v>11</v>
      </c>
      <c r="P72" s="26" t="n">
        <f aca="false">MIN(0.6,COUNTIF(INDEX('Report 2023-2025'!$B$2:$D$20,MATCH(A72,'Report 2023-2025'!$A$2:$A$20,0),0),"&gt;80")/4*0.6)</f>
        <v>0.3</v>
      </c>
      <c r="Q72" s="18" t="n">
        <f aca="false">IF(J72&gt;80,NORMSDIST((Calculator!$B$22-J72)/SQRT((0.3*'Sources &amp; Method'!$B$16)^2+'Sources &amp; Method'!$B$17^2)),(1-P72)*NORMSDIST((Calculator!$B$22-(J72+1))/SQRT((0.3*'Sources &amp; Method'!$B$16)^2+'Sources &amp; Method'!$B$18^2))+P72*NORMSDIST((Calculator!$B$22-85)/SQRT((0.3*'Sources &amp; Method'!$B$16)^2+2.5^2)))</f>
        <v>0.974011137199435</v>
      </c>
      <c r="R72" s="18" t="n">
        <f aca="false">IF(J72&gt;80,NORMSDIST((Calculator!$B$51-J72)/SQRT((0.3*'Sources &amp; Method'!$B$16)^2+'Sources &amp; Method'!$B$17^2)),(1-P72)*NORMSDIST((Calculator!$B$51-(J72+1))/SQRT((0.3*'Sources &amp; Method'!$B$16)^2+'Sources &amp; Method'!$B$18^2))+P72*NORMSDIST((Calculator!$B$51-85)/SQRT((0.3*'Sources &amp; Method'!$B$16)^2+2.5^2)))</f>
        <v>0.254644614490318</v>
      </c>
      <c r="S72" s="18" t="n">
        <f aca="false">IF(OR(M72=0,O72="",Calculator!$B$25=0),0,IF(Calculator!$B$25&gt;=999,'Sources &amp; Method'!$B$21,MIN('Sources &amp; Method'!$B$21,NORMSDIST((Calculator!$B$25-O72+0.5)/'Sources &amp; Method'!$B$20))))</f>
        <v>0</v>
      </c>
      <c r="T72" s="18" t="n">
        <f aca="false">IF(OR(M72=0,O72="",Calculator!$B$54=0),0,IF(Calculator!$B$54&gt;=999,'Sources &amp; Method'!$B$21,MIN('Sources &amp; Method'!$B$21,NORMSDIST((Calculator!$B$54-O72+0.5)/'Sources &amp; Method'!$B$20))))</f>
        <v>0.97</v>
      </c>
      <c r="U72" s="17" t="n">
        <f aca="false">RANK(J72,$J$2:$J$76)</f>
        <v>47</v>
      </c>
    </row>
    <row r="73" customFormat="false" ht="15" hidden="false" customHeight="false" outlineLevel="0" collapsed="false">
      <c r="A73" s="6" t="s">
        <v>287</v>
      </c>
      <c r="B73" s="6" t="s">
        <v>288</v>
      </c>
      <c r="C73" s="6" t="s">
        <v>164</v>
      </c>
      <c r="D73" s="20" t="n">
        <v>-6.9419</v>
      </c>
      <c r="E73" s="20" t="n">
        <v>107.7128</v>
      </c>
      <c r="F73" s="21" t="n">
        <f aca="false">2*6371000*ASIN(SQRT(SIN(RADIANS(D73-'Sources &amp; Method'!$B$28)/2)^2+COS(RADIANS('Sources &amp; Method'!$B$28))*COS(RADIANS(D73))*SIN(RADIANS(E73-'Sources &amp; Method'!$B$29)/2)^2))</f>
        <v>3437.43243279299</v>
      </c>
      <c r="G73" s="22" t="n">
        <v>21</v>
      </c>
      <c r="H73" s="22" t="n">
        <v>14</v>
      </c>
      <c r="I73" s="23" t="n">
        <f aca="false">IF(G73=0,0,H73/G73)</f>
        <v>0.666666666666667</v>
      </c>
      <c r="J73" s="24" t="n">
        <v>45.569</v>
      </c>
      <c r="K73" s="24" t="n">
        <v>48.292</v>
      </c>
      <c r="L73" s="24" t="n">
        <v>76.67</v>
      </c>
      <c r="M73" s="22" t="n">
        <v>4</v>
      </c>
      <c r="N73" s="22" t="n">
        <v>3</v>
      </c>
      <c r="O73" s="25" t="n">
        <v>8</v>
      </c>
      <c r="P73" s="26" t="n">
        <f aca="false">MIN(0.6,COUNTIF(INDEX('Report 2023-2025'!$B$2:$D$20,MATCH(A73,'Report 2023-2025'!$A$2:$A$20,0),0),"&gt;80")/4*0.6)</f>
        <v>0</v>
      </c>
      <c r="Q73" s="18" t="n">
        <f aca="false">IF(J73&gt;80,NORMSDIST((Calculator!$B$22-J73)/SQRT((0.3*'Sources &amp; Method'!$B$16)^2+'Sources &amp; Method'!$B$17^2)),(1-P73)*NORMSDIST((Calculator!$B$22-(J73+1))/SQRT((0.3*'Sources &amp; Method'!$B$16)^2+'Sources &amp; Method'!$B$18^2))+P73*NORMSDIST((Calculator!$B$22-85)/SQRT((0.3*'Sources &amp; Method'!$B$16)^2+2.5^2)))</f>
        <v>1</v>
      </c>
      <c r="R73" s="18" t="n">
        <f aca="false">IF(J73&gt;80,NORMSDIST((Calculator!$B$51-J73)/SQRT((0.3*'Sources &amp; Method'!$B$16)^2+'Sources &amp; Method'!$B$17^2)),(1-P73)*NORMSDIST((Calculator!$B$51-(J73+1))/SQRT((0.3*'Sources &amp; Method'!$B$16)^2+'Sources &amp; Method'!$B$18^2))+P73*NORMSDIST((Calculator!$B$51-85)/SQRT((0.3*'Sources &amp; Method'!$B$16)^2+2.5^2)))</f>
        <v>0.440010150125974</v>
      </c>
      <c r="S73" s="18" t="n">
        <f aca="false">IF(OR(M73=0,O73="",Calculator!$B$25=0),0,IF(Calculator!$B$25&gt;=999,'Sources &amp; Method'!$B$21,MIN('Sources &amp; Method'!$B$21,NORMSDIST((Calculator!$B$25-O73+0.5)/'Sources &amp; Method'!$B$20))))</f>
        <v>0</v>
      </c>
      <c r="T73" s="18" t="n">
        <f aca="false">IF(OR(M73=0,O73="",Calculator!$B$54=0),0,IF(Calculator!$B$54&gt;=999,'Sources &amp; Method'!$B$21,MIN('Sources &amp; Method'!$B$21,NORMSDIST((Calculator!$B$54-O73+0.5)/'Sources &amp; Method'!$B$20))))</f>
        <v>0.97</v>
      </c>
      <c r="U73" s="17" t="n">
        <f aca="false">RANK(J73,$J$2:$J$76)</f>
        <v>52</v>
      </c>
    </row>
    <row r="74" customFormat="false" ht="15" hidden="false" customHeight="false" outlineLevel="0" collapsed="false">
      <c r="A74" s="6" t="s">
        <v>289</v>
      </c>
      <c r="B74" s="6" t="s">
        <v>290</v>
      </c>
      <c r="C74" s="6" t="s">
        <v>148</v>
      </c>
      <c r="D74" s="20" t="n">
        <v>-6.918772</v>
      </c>
      <c r="E74" s="20" t="n">
        <v>107.583451</v>
      </c>
      <c r="F74" s="21" t="n">
        <f aca="false">2*6371000*ASIN(SQRT(SIN(RADIANS(D74-'Sources &amp; Method'!$B$28)/2)^2+COS(RADIANS('Sources &amp; Method'!$B$28))*COS(RADIANS(D74))*SIN(RADIANS(E74-'Sources &amp; Method'!$B$29)/2)^2))</f>
        <v>12933.8409047487</v>
      </c>
      <c r="G74" s="22" t="n">
        <v>17</v>
      </c>
      <c r="H74" s="22" t="n">
        <v>7</v>
      </c>
      <c r="I74" s="23" t="n">
        <f aca="false">IF(G74=0,0,H74/G74)</f>
        <v>0.411764705882353</v>
      </c>
      <c r="J74" s="24" t="n">
        <v>44.16</v>
      </c>
      <c r="K74" s="24" t="n">
        <v>44.816</v>
      </c>
      <c r="L74" s="24" t="n">
        <v>66.67</v>
      </c>
      <c r="M74" s="22" t="n">
        <v>0</v>
      </c>
      <c r="N74" s="22" t="n">
        <v>0</v>
      </c>
      <c r="O74" s="25"/>
      <c r="P74" s="26" t="n">
        <f aca="false">'Sources &amp; Method'!$B$19</f>
        <v>0.3</v>
      </c>
      <c r="Q74" s="18" t="n">
        <f aca="false">IF(J74&gt;80,NORMSDIST((Calculator!$B$22-J74)/SQRT((0.3*'Sources &amp; Method'!$B$16)^2+'Sources &amp; Method'!$B$17^2)),(1-P74)*NORMSDIST((Calculator!$B$22-(J74+1))/SQRT((0.3*'Sources &amp; Method'!$B$16)^2+'Sources &amp; Method'!$B$18^2))+P74*NORMSDIST((Calculator!$B$22-85)/SQRT((0.3*'Sources &amp; Method'!$B$16)^2+2.5^2)))</f>
        <v>0.974011137199435</v>
      </c>
      <c r="R74" s="18" t="n">
        <f aca="false">IF(J74&gt;80,NORMSDIST((Calculator!$B$51-J74)/SQRT((0.3*'Sources &amp; Method'!$B$16)^2+'Sources &amp; Method'!$B$17^2)),(1-P74)*NORMSDIST((Calculator!$B$51-(J74+1))/SQRT((0.3*'Sources &amp; Method'!$B$16)^2+'Sources &amp; Method'!$B$18^2))+P74*NORMSDIST((Calculator!$B$51-85)/SQRT((0.3*'Sources &amp; Method'!$B$16)^2+2.5^2)))</f>
        <v>0.414707011346054</v>
      </c>
      <c r="S74" s="18" t="n">
        <f aca="false">IF(OR(M74=0,O74="",Calculator!$B$25=0),0,IF(Calculator!$B$25&gt;=999,'Sources &amp; Method'!$B$21,MIN('Sources &amp; Method'!$B$21,NORMSDIST((Calculator!$B$25-O74+0.5)/'Sources &amp; Method'!$B$20))))</f>
        <v>0</v>
      </c>
      <c r="T74" s="18" t="n">
        <f aca="false">IF(OR(M74=0,O74="",Calculator!$B$54=0),0,IF(Calculator!$B$54&gt;=999,'Sources &amp; Method'!$B$21,MIN('Sources &amp; Method'!$B$21,NORMSDIST((Calculator!$B$54-O74+0.5)/'Sources &amp; Method'!$B$20))))</f>
        <v>0</v>
      </c>
      <c r="U74" s="17" t="n">
        <f aca="false">RANK(J74,$J$2:$J$76)</f>
        <v>61</v>
      </c>
    </row>
    <row r="75" customFormat="false" ht="15" hidden="false" customHeight="false" outlineLevel="0" collapsed="false">
      <c r="A75" s="6" t="s">
        <v>291</v>
      </c>
      <c r="B75" s="6" t="s">
        <v>292</v>
      </c>
      <c r="C75" s="6" t="s">
        <v>151</v>
      </c>
      <c r="D75" s="20" t="n">
        <v>-6.886297</v>
      </c>
      <c r="E75" s="20" t="n">
        <v>107.591793</v>
      </c>
      <c r="F75" s="21" t="n">
        <f aca="false">2*6371000*ASIN(SQRT(SIN(RADIANS(D75-'Sources &amp; Method'!$B$28)/2)^2+COS(RADIANS('Sources &amp; Method'!$B$28))*COS(RADIANS(D75))*SIN(RADIANS(E75-'Sources &amp; Method'!$B$29)/2)^2))</f>
        <v>12375.4826133746</v>
      </c>
      <c r="G75" s="22" t="n">
        <v>32</v>
      </c>
      <c r="H75" s="22" t="n">
        <v>19</v>
      </c>
      <c r="I75" s="23" t="n">
        <f aca="false">IF(G75=0,0,H75/G75)</f>
        <v>0.59375</v>
      </c>
      <c r="J75" s="24" t="n">
        <v>38.453</v>
      </c>
      <c r="K75" s="24" t="n">
        <v>44.031</v>
      </c>
      <c r="L75" s="24" t="n">
        <v>61.66</v>
      </c>
      <c r="M75" s="22" t="n">
        <v>1</v>
      </c>
      <c r="N75" s="22" t="n">
        <v>1</v>
      </c>
      <c r="O75" s="25" t="n">
        <v>20</v>
      </c>
      <c r="P75" s="26" t="n">
        <f aca="false">'Sources &amp; Method'!$B$19</f>
        <v>0.3</v>
      </c>
      <c r="Q75" s="18" t="n">
        <f aca="false">IF(J75&gt;80,NORMSDIST((Calculator!$B$22-J75)/SQRT((0.3*'Sources &amp; Method'!$B$16)^2+'Sources &amp; Method'!$B$17^2)),(1-P75)*NORMSDIST((Calculator!$B$22-(J75+1))/SQRT((0.3*'Sources &amp; Method'!$B$16)^2+'Sources &amp; Method'!$B$18^2))+P75*NORMSDIST((Calculator!$B$22-85)/SQRT((0.3*'Sources &amp; Method'!$B$16)^2+2.5^2)))</f>
        <v>0.974011137199435</v>
      </c>
      <c r="R75" s="18" t="n">
        <f aca="false">IF(J75&gt;80,NORMSDIST((Calculator!$B$51-J75)/SQRT((0.3*'Sources &amp; Method'!$B$16)^2+'Sources &amp; Method'!$B$17^2)),(1-P75)*NORMSDIST((Calculator!$B$51-(J75+1))/SQRT((0.3*'Sources &amp; Method'!$B$16)^2+'Sources &amp; Method'!$B$18^2))+P75*NORMSDIST((Calculator!$B$51-85)/SQRT((0.3*'Sources &amp; Method'!$B$16)^2+2.5^2)))</f>
        <v>0.6744188554399</v>
      </c>
      <c r="S75" s="18" t="n">
        <f aca="false">IF(OR(M75=0,O75="",Calculator!$B$25=0),0,IF(Calculator!$B$25&gt;=999,'Sources &amp; Method'!$B$21,MIN('Sources &amp; Method'!$B$21,NORMSDIST((Calculator!$B$25-O75+0.5)/'Sources &amp; Method'!$B$20))))</f>
        <v>0</v>
      </c>
      <c r="T75" s="18" t="n">
        <f aca="false">IF(OR(M75=0,O75="",Calculator!$B$54=0),0,IF(Calculator!$B$54&gt;=999,'Sources &amp; Method'!$B$21,MIN('Sources &amp; Method'!$B$21,NORMSDIST((Calculator!$B$54-O75+0.5)/'Sources &amp; Method'!$B$20))))</f>
        <v>0.97</v>
      </c>
      <c r="U75" s="17" t="n">
        <f aca="false">RANK(J75,$J$2:$J$76)</f>
        <v>72</v>
      </c>
    </row>
    <row r="76" customFormat="false" ht="15" hidden="false" customHeight="false" outlineLevel="0" collapsed="false">
      <c r="A76" s="6" t="s">
        <v>293</v>
      </c>
      <c r="B76" s="6" t="s">
        <v>294</v>
      </c>
      <c r="C76" s="6" t="s">
        <v>148</v>
      </c>
      <c r="D76" s="20" t="n">
        <v>-6.953517</v>
      </c>
      <c r="E76" s="20" t="n">
        <v>107.58443</v>
      </c>
      <c r="F76" s="21" t="n">
        <f aca="false">2*6371000*ASIN(SQRT(SIN(RADIANS(D76-'Sources &amp; Method'!$B$28)/2)^2+COS(RADIANS('Sources &amp; Method'!$B$28))*COS(RADIANS(D76))*SIN(RADIANS(E76-'Sources &amp; Method'!$B$29)/2)^2))</f>
        <v>13562.7172157049</v>
      </c>
      <c r="G76" s="22" t="n">
        <v>17</v>
      </c>
      <c r="H76" s="22" t="n">
        <v>3</v>
      </c>
      <c r="I76" s="23" t="n">
        <f aca="false">IF(G76=0,0,H76/G76)</f>
        <v>0.176470588235294</v>
      </c>
      <c r="J76" s="24" t="n">
        <v>39.361</v>
      </c>
      <c r="K76" s="24" t="n">
        <v>42.399</v>
      </c>
      <c r="L76" s="24" t="n">
        <v>61.66</v>
      </c>
      <c r="M76" s="22" t="n">
        <v>0</v>
      </c>
      <c r="N76" s="22" t="n">
        <v>0</v>
      </c>
      <c r="O76" s="25"/>
      <c r="P76" s="26" t="n">
        <f aca="false">'Sources &amp; Method'!$B$19</f>
        <v>0.3</v>
      </c>
      <c r="Q76" s="18" t="n">
        <f aca="false">IF(J76&gt;80,NORMSDIST((Calculator!$B$22-J76)/SQRT((0.3*'Sources &amp; Method'!$B$16)^2+'Sources &amp; Method'!$B$17^2)),(1-P76)*NORMSDIST((Calculator!$B$22-(J76+1))/SQRT((0.3*'Sources &amp; Method'!$B$16)^2+'Sources &amp; Method'!$B$18^2))+P76*NORMSDIST((Calculator!$B$22-85)/SQRT((0.3*'Sources &amp; Method'!$B$16)^2+2.5^2)))</f>
        <v>0.974011137199435</v>
      </c>
      <c r="R76" s="18" t="n">
        <f aca="false">IF(J76&gt;80,NORMSDIST((Calculator!$B$51-J76)/SQRT((0.3*'Sources &amp; Method'!$B$16)^2+'Sources &amp; Method'!$B$17^2)),(1-P76)*NORMSDIST((Calculator!$B$51-(J76+1))/SQRT((0.3*'Sources &amp; Method'!$B$16)^2+'Sources &amp; Method'!$B$18^2))+P76*NORMSDIST((Calculator!$B$51-85)/SQRT((0.3*'Sources &amp; Method'!$B$16)^2+2.5^2)))</f>
        <v>0.657121246824093</v>
      </c>
      <c r="S76" s="18" t="n">
        <f aca="false">IF(OR(M76=0,O76="",Calculator!$B$25=0),0,IF(Calculator!$B$25&gt;=999,'Sources &amp; Method'!$B$21,MIN('Sources &amp; Method'!$B$21,NORMSDIST((Calculator!$B$25-O76+0.5)/'Sources &amp; Method'!$B$20))))</f>
        <v>0</v>
      </c>
      <c r="T76" s="18" t="n">
        <f aca="false">IF(OR(M76=0,O76="",Calculator!$B$54=0),0,IF(Calculator!$B$54&gt;=999,'Sources &amp; Method'!$B$21,MIN('Sources &amp; Method'!$B$21,NORMSDIST((Calculator!$B$54-O76+0.5)/'Sources &amp; Method'!$B$20))))</f>
        <v>0</v>
      </c>
      <c r="U76" s="17" t="n">
        <f aca="false">RANK(J76,$J$2:$J$76)</f>
        <v>71</v>
      </c>
    </row>
    <row r="78" customFormat="false" ht="15" hidden="false" customHeight="false" outlineLevel="0" collapsed="false">
      <c r="A78" s="2" t="s">
        <v>295</v>
      </c>
    </row>
  </sheetData>
  <autoFilter ref="A1:U7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3" min="3" style="0" width="13"/>
    <col collapsed="false" customWidth="true" hidden="false" outlineLevel="0" max="9" min="4" style="0" width="10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3" min="12" style="0" width="9"/>
    <col collapsed="false" customWidth="true" hidden="false" outlineLevel="0" max="14" min="14" style="0" width="12"/>
    <col collapsed="false" customWidth="true" hidden="false" outlineLevel="0" max="15" min="15" style="0" width="16"/>
    <col collapsed="false" customWidth="true" hidden="false" outlineLevel="0" max="16" min="16" style="0" width="10"/>
  </cols>
  <sheetData>
    <row r="1" customFormat="false" ht="31.5" hidden="false" customHeight="true" outlineLevel="0" collapsed="false">
      <c r="A1" s="3" t="s">
        <v>125</v>
      </c>
      <c r="B1" s="3" t="s">
        <v>126</v>
      </c>
      <c r="C1" s="3" t="s">
        <v>296</v>
      </c>
      <c r="D1" s="3" t="s">
        <v>297</v>
      </c>
      <c r="E1" s="3" t="s">
        <v>298</v>
      </c>
      <c r="F1" s="3" t="s">
        <v>299</v>
      </c>
      <c r="G1" s="3" t="s">
        <v>300</v>
      </c>
      <c r="H1" s="3" t="s">
        <v>301</v>
      </c>
      <c r="I1" s="3" t="s">
        <v>302</v>
      </c>
      <c r="J1" s="3" t="s">
        <v>303</v>
      </c>
      <c r="K1" s="3" t="s">
        <v>130</v>
      </c>
      <c r="L1" s="3" t="s">
        <v>304</v>
      </c>
      <c r="M1" s="3" t="s">
        <v>305</v>
      </c>
      <c r="N1" s="3" t="s">
        <v>306</v>
      </c>
      <c r="O1" s="3" t="s">
        <v>307</v>
      </c>
      <c r="P1" s="3" t="s">
        <v>308</v>
      </c>
    </row>
    <row r="2" customFormat="false" ht="15" hidden="false" customHeight="false" outlineLevel="0" collapsed="false">
      <c r="A2" s="6" t="s">
        <v>113</v>
      </c>
      <c r="B2" s="6" t="s">
        <v>163</v>
      </c>
      <c r="C2" s="6" t="s">
        <v>309</v>
      </c>
      <c r="D2" s="27" t="n">
        <v>371.67</v>
      </c>
      <c r="E2" s="27" t="n">
        <v>380.62</v>
      </c>
      <c r="F2" s="27" t="n">
        <v>452.4</v>
      </c>
      <c r="G2" s="27" t="n">
        <v>273.96</v>
      </c>
      <c r="H2" s="22" t="n">
        <v>49</v>
      </c>
      <c r="I2" s="22" t="n">
        <v>227</v>
      </c>
      <c r="J2" s="23" t="n">
        <f aca="false">I2/H2</f>
        <v>4.63265306122449</v>
      </c>
      <c r="K2" s="28" t="n">
        <f aca="false">INDEX('Schools 2026'!$F:$F,MATCH(A2,'Schools 2026'!$A:$A,0))</f>
        <v>168.12564206176</v>
      </c>
      <c r="L2" s="16" t="n">
        <f aca="false">'Sources &amp; Method'!$B$23*LN(D2)+'Sources &amp; Method'!$B$24*LN(E2)+'Sources &amp; Method'!$B$25*LN(F2)+'Sources &amp; Method'!$B$26*LN(G2)</f>
        <v>5.80295239024495</v>
      </c>
      <c r="M2" s="16" t="n">
        <f aca="false">MAX('Sources &amp; Method'!$B$22,SQRT('Sources &amp; Method'!$B$23*(LN(D2)-L2)^2+'Sources &amp; Method'!$B$24*(LN(E2)-L2)^2+'Sources &amp; Method'!$B$25*(LN(F2)-L2)^2+'Sources &amp; Method'!$B$26*(LN(G2)-L2)^2))</f>
        <v>0.3</v>
      </c>
      <c r="N2" s="21" t="n">
        <f aca="false">EXP(L2)</f>
        <v>331.276174071903</v>
      </c>
      <c r="O2" s="6" t="str">
        <f aca="false">TEXT(EXP(L2-M2),"#,##0")&amp;" – "&amp;TEXT(EXP(L2+M2),"#,##0")</f>
        <v>245 – 447</v>
      </c>
      <c r="P2" s="18" t="n">
        <f aca="false">1-NORMSDIST((LN(K2)-L2)/M2)</f>
        <v>0.98811426246012</v>
      </c>
    </row>
    <row r="3" customFormat="false" ht="15" hidden="false" customHeight="false" outlineLevel="0" collapsed="false">
      <c r="A3" s="6" t="s">
        <v>102</v>
      </c>
      <c r="B3" s="6" t="s">
        <v>181</v>
      </c>
      <c r="C3" s="6" t="s">
        <v>310</v>
      </c>
      <c r="D3" s="27" t="n">
        <v>498.34</v>
      </c>
      <c r="E3" s="27" t="n">
        <v>524.05</v>
      </c>
      <c r="F3" s="27" t="n">
        <v>543.89</v>
      </c>
      <c r="G3" s="27" t="n">
        <v>650.96</v>
      </c>
      <c r="H3" s="22" t="n">
        <v>113</v>
      </c>
      <c r="I3" s="22" t="n">
        <v>320</v>
      </c>
      <c r="J3" s="23" t="n">
        <f aca="false">I3/H3</f>
        <v>2.83185840707965</v>
      </c>
      <c r="K3" s="28" t="n">
        <f aca="false">INDEX('Schools 2026'!$F:$F,MATCH(A3,'Schools 2026'!$A:$A,0))</f>
        <v>3160.78152998381</v>
      </c>
      <c r="L3" s="16" t="n">
        <f aca="false">'Sources &amp; Method'!$B$23*LN(D3)+'Sources &amp; Method'!$B$24*LN(E3)+'Sources &amp; Method'!$B$25*LN(F3)+'Sources &amp; Method'!$B$26*LN(G3)</f>
        <v>6.38763545683754</v>
      </c>
      <c r="M3" s="16" t="n">
        <f aca="false">MAX('Sources &amp; Method'!$B$22,SQRT('Sources &amp; Method'!$B$23*(LN(D3)-L3)^2+'Sources &amp; Method'!$B$24*(LN(E3)-L3)^2+'Sources &amp; Method'!$B$25*(LN(F3)-L3)^2+'Sources &amp; Method'!$B$26*(LN(G3)-L3)^2))</f>
        <v>0.3</v>
      </c>
      <c r="N3" s="21" t="n">
        <f aca="false">EXP(L3)</f>
        <v>594.449315510826</v>
      </c>
      <c r="O3" s="6" t="str">
        <f aca="false">TEXT(EXP(L3-M3),"#,##0")&amp;" – "&amp;TEXT(EXP(L3+M3),"#,##0")</f>
        <v>440 – 802</v>
      </c>
      <c r="P3" s="18" t="n">
        <f aca="false">1-NORMSDIST((LN(K3)-L3)/M3)</f>
        <v>1.27518057224663E-008</v>
      </c>
    </row>
    <row r="4" customFormat="false" ht="15" hidden="false" customHeight="false" outlineLevel="0" collapsed="false">
      <c r="A4" s="6" t="s">
        <v>182</v>
      </c>
      <c r="B4" s="6" t="s">
        <v>183</v>
      </c>
      <c r="C4" s="6" t="s">
        <v>311</v>
      </c>
      <c r="D4" s="27" t="n">
        <v>505.04</v>
      </c>
      <c r="E4" s="27" t="n">
        <v>562.49</v>
      </c>
      <c r="F4" s="27" t="n">
        <v>611.37</v>
      </c>
      <c r="G4" s="27" t="n">
        <v>497.89</v>
      </c>
      <c r="H4" s="22" t="n">
        <v>128</v>
      </c>
      <c r="I4" s="22" t="n">
        <v>279</v>
      </c>
      <c r="J4" s="23" t="n">
        <f aca="false">I4/H4</f>
        <v>2.1796875</v>
      </c>
      <c r="K4" s="28" t="n">
        <f aca="false">INDEX('Schools 2026'!$F:$F,MATCH(A4,'Schools 2026'!$A:$A,0))</f>
        <v>7767.97505659725</v>
      </c>
      <c r="L4" s="16" t="n">
        <f aca="false">'Sources &amp; Method'!$B$23*LN(D4)+'Sources &amp; Method'!$B$24*LN(E4)+'Sources &amp; Method'!$B$25*LN(F4)+'Sources &amp; Method'!$B$26*LN(G4)</f>
        <v>6.28072201325993</v>
      </c>
      <c r="M4" s="16" t="n">
        <f aca="false">MAX('Sources &amp; Method'!$B$22,SQRT('Sources &amp; Method'!$B$23*(LN(D4)-L4)^2+'Sources &amp; Method'!$B$24*(LN(E4)-L4)^2+'Sources &amp; Method'!$B$25*(LN(F4)-L4)^2+'Sources &amp; Method'!$B$26*(LN(G4)-L4)^2))</f>
        <v>0.3</v>
      </c>
      <c r="N4" s="21" t="n">
        <f aca="false">EXP(L4)</f>
        <v>534.174205485189</v>
      </c>
      <c r="O4" s="6" t="str">
        <f aca="false">TEXT(EXP(L4-M4),"#,##0")&amp;" – "&amp;TEXT(EXP(L4+M4),"#,##0")</f>
        <v>396 – 721</v>
      </c>
      <c r="P4" s="18" t="n">
        <f aca="false">1-NORMSDIST((LN(K4)-L4)/M4)</f>
        <v>0</v>
      </c>
    </row>
    <row r="5" customFormat="false" ht="15" hidden="false" customHeight="false" outlineLevel="0" collapsed="false">
      <c r="A5" s="6" t="s">
        <v>230</v>
      </c>
      <c r="B5" s="6" t="s">
        <v>231</v>
      </c>
      <c r="C5" s="6" t="s">
        <v>311</v>
      </c>
      <c r="D5" s="27" t="n">
        <v>1258.77</v>
      </c>
      <c r="E5" s="27" t="n">
        <v>1712.4</v>
      </c>
      <c r="F5" s="27" t="n">
        <v>1474.54</v>
      </c>
      <c r="G5" s="27" t="n">
        <v>944</v>
      </c>
      <c r="H5" s="22" t="n">
        <v>126</v>
      </c>
      <c r="I5" s="22" t="n">
        <v>192</v>
      </c>
      <c r="J5" s="23" t="n">
        <f aca="false">I5/H5</f>
        <v>1.52380952380952</v>
      </c>
      <c r="K5" s="28" t="n">
        <f aca="false">INDEX('Schools 2026'!$F:$F,MATCH(A5,'Schools 2026'!$A:$A,0))</f>
        <v>5810.71906671007</v>
      </c>
      <c r="L5" s="16" t="n">
        <f aca="false">'Sources &amp; Method'!$B$23*LN(D5)+'Sources &amp; Method'!$B$24*LN(E5)+'Sources &amp; Method'!$B$25*LN(F5)+'Sources &amp; Method'!$B$26*LN(G5)</f>
        <v>7.06533692308673</v>
      </c>
      <c r="M5" s="16" t="n">
        <f aca="false">MAX('Sources &amp; Method'!$B$22,SQRT('Sources &amp; Method'!$B$23*(LN(D5)-L5)^2+'Sources &amp; Method'!$B$24*(LN(E5)-L5)^2+'Sources &amp; Method'!$B$25*(LN(F5)-L5)^2+'Sources &amp; Method'!$B$26*(LN(G5)-L5)^2))</f>
        <v>0.3</v>
      </c>
      <c r="N5" s="21" t="n">
        <f aca="false">EXP(L5)</f>
        <v>1170.67633290104</v>
      </c>
      <c r="O5" s="6" t="str">
        <f aca="false">TEXT(EXP(L5-M5),"#,##0")&amp;" – "&amp;TEXT(EXP(L5+M5),"#,##0")</f>
        <v>867 – 1,580</v>
      </c>
      <c r="P5" s="18" t="n">
        <f aca="false">1-NORMSDIST((LN(K5)-L5)/M5)</f>
        <v>4.63685744245268E-008</v>
      </c>
    </row>
    <row r="6" customFormat="false" ht="15" hidden="false" customHeight="false" outlineLevel="0" collapsed="false">
      <c r="A6" s="6" t="s">
        <v>236</v>
      </c>
      <c r="B6" s="6" t="s">
        <v>237</v>
      </c>
      <c r="C6" s="6" t="s">
        <v>312</v>
      </c>
      <c r="D6" s="27" t="n">
        <v>641.38</v>
      </c>
      <c r="E6" s="27" t="n">
        <v>598.48</v>
      </c>
      <c r="F6" s="27" t="n">
        <v>684.9</v>
      </c>
      <c r="G6" s="27" t="n">
        <v>593.76</v>
      </c>
      <c r="H6" s="22" t="n">
        <v>89</v>
      </c>
      <c r="I6" s="22" t="n">
        <v>270</v>
      </c>
      <c r="J6" s="23" t="n">
        <f aca="false">I6/H6</f>
        <v>3.03370786516854</v>
      </c>
      <c r="K6" s="28" t="n">
        <f aca="false">INDEX('Schools 2026'!$F:$F,MATCH(A6,'Schools 2026'!$A:$A,0))</f>
        <v>4547.30241508002</v>
      </c>
      <c r="L6" s="16" t="n">
        <f aca="false">'Sources &amp; Method'!$B$23*LN(D6)+'Sources &amp; Method'!$B$24*LN(E6)+'Sources &amp; Method'!$B$25*LN(F6)+'Sources &amp; Method'!$B$26*LN(G6)</f>
        <v>6.4272196404565</v>
      </c>
      <c r="M6" s="16" t="n">
        <f aca="false">MAX('Sources &amp; Method'!$B$22,SQRT('Sources &amp; Method'!$B$23*(LN(D6)-L6)^2+'Sources &amp; Method'!$B$24*(LN(E6)-L6)^2+'Sources &amp; Method'!$B$25*(LN(F6)-L6)^2+'Sources &amp; Method'!$B$26*(LN(G6)-L6)^2))</f>
        <v>0.3</v>
      </c>
      <c r="N6" s="21" t="n">
        <f aca="false">EXP(L6)</f>
        <v>618.452036333765</v>
      </c>
      <c r="O6" s="6" t="str">
        <f aca="false">TEXT(EXP(L6-M6),"#,##0")&amp;" – "&amp;TEXT(EXP(L6+M6),"#,##0")</f>
        <v>458 – 835</v>
      </c>
      <c r="P6" s="18" t="n">
        <f aca="false">1-NORMSDIST((LN(K6)-L6)/M6)</f>
        <v>1.46315182192325E-011</v>
      </c>
    </row>
    <row r="7" customFormat="false" ht="15" hidden="false" customHeight="false" outlineLevel="0" collapsed="false">
      <c r="A7" s="6" t="s">
        <v>104</v>
      </c>
      <c r="B7" s="6" t="s">
        <v>238</v>
      </c>
      <c r="C7" s="6" t="s">
        <v>313</v>
      </c>
      <c r="D7" s="27" t="n">
        <v>718.79</v>
      </c>
      <c r="E7" s="27" t="n">
        <v>580.73</v>
      </c>
      <c r="F7" s="27" t="n">
        <v>1001.35</v>
      </c>
      <c r="G7" s="27" t="n">
        <v>710.02</v>
      </c>
      <c r="H7" s="22" t="n">
        <v>111</v>
      </c>
      <c r="I7" s="22" t="n">
        <v>275</v>
      </c>
      <c r="J7" s="23" t="n">
        <f aca="false">I7/H7</f>
        <v>2.47747747747748</v>
      </c>
      <c r="K7" s="28" t="n">
        <f aca="false">INDEX('Schools 2026'!$F:$F,MATCH(A7,'Schools 2026'!$A:$A,0))</f>
        <v>2695.06826327759</v>
      </c>
      <c r="L7" s="16" t="n">
        <f aca="false">'Sources &amp; Method'!$B$23*LN(D7)+'Sources &amp; Method'!$B$24*LN(E7)+'Sources &amp; Method'!$B$25*LN(F7)+'Sources &amp; Method'!$B$26*LN(G7)</f>
        <v>6.62170867045836</v>
      </c>
      <c r="M7" s="16" t="n">
        <f aca="false">MAX('Sources &amp; Method'!$B$22,SQRT('Sources &amp; Method'!$B$23*(LN(D7)-L7)^2+'Sources &amp; Method'!$B$24*(LN(E7)-L7)^2+'Sources &amp; Method'!$B$25*(LN(F7)-L7)^2+'Sources &amp; Method'!$B$26*(LN(G7)-L7)^2))</f>
        <v>0.3</v>
      </c>
      <c r="N7" s="21" t="n">
        <f aca="false">EXP(L7)</f>
        <v>751.227601521377</v>
      </c>
      <c r="O7" s="6" t="str">
        <f aca="false">TEXT(EXP(L7-M7),"#,##0")&amp;" – "&amp;TEXT(EXP(L7+M7),"#,##0")</f>
        <v>557 – 1,014</v>
      </c>
      <c r="P7" s="18" t="n">
        <f aca="false">1-NORMSDIST((LN(K7)-L7)/M7)</f>
        <v>1.03024191672185E-005</v>
      </c>
    </row>
    <row r="8" customFormat="false" ht="15" hidden="false" customHeight="false" outlineLevel="0" collapsed="false">
      <c r="A8" s="6" t="s">
        <v>241</v>
      </c>
      <c r="B8" s="6" t="s">
        <v>242</v>
      </c>
      <c r="C8" s="6" t="s">
        <v>311</v>
      </c>
      <c r="D8" s="27" t="n">
        <v>883.41</v>
      </c>
      <c r="E8" s="27" t="n">
        <v>1253.54</v>
      </c>
      <c r="F8" s="27" t="n">
        <v>1052.71</v>
      </c>
      <c r="G8" s="27" t="n">
        <v>825.43</v>
      </c>
      <c r="H8" s="22" t="n">
        <v>106</v>
      </c>
      <c r="I8" s="22" t="n">
        <v>239</v>
      </c>
      <c r="J8" s="23" t="n">
        <f aca="false">I8/H8</f>
        <v>2.25471698113208</v>
      </c>
      <c r="K8" s="28" t="n">
        <f aca="false">INDEX('Schools 2026'!$F:$F,MATCH(A8,'Schools 2026'!$A:$A,0))</f>
        <v>6955.08263107729</v>
      </c>
      <c r="L8" s="16" t="n">
        <f aca="false">'Sources &amp; Method'!$B$23*LN(D8)+'Sources &amp; Method'!$B$24*LN(E8)+'Sources &amp; Method'!$B$25*LN(F8)+'Sources &amp; Method'!$B$26*LN(G8)</f>
        <v>6.84277671722914</v>
      </c>
      <c r="M8" s="16" t="n">
        <f aca="false">MAX('Sources &amp; Method'!$B$22,SQRT('Sources &amp; Method'!$B$23*(LN(D8)-L8)^2+'Sources &amp; Method'!$B$24*(LN(E8)-L8)^2+'Sources &amp; Method'!$B$25*(LN(F8)-L8)^2+'Sources &amp; Method'!$B$26*(LN(G8)-L8)^2))</f>
        <v>0.3</v>
      </c>
      <c r="N8" s="21" t="n">
        <f aca="false">EXP(L8)</f>
        <v>937.087552676481</v>
      </c>
      <c r="O8" s="6" t="str">
        <f aca="false">TEXT(EXP(L8-M8),"#,##0")&amp;" – "&amp;TEXT(EXP(L8+M8),"#,##0")</f>
        <v>694 – 1,265</v>
      </c>
      <c r="P8" s="18" t="n">
        <f aca="false">1-NORMSDIST((LN(K8)-L8)/M8)</f>
        <v>1.1825096457585E-011</v>
      </c>
    </row>
    <row r="9" customFormat="false" ht="15" hidden="false" customHeight="false" outlineLevel="0" collapsed="false">
      <c r="A9" s="6" t="s">
        <v>243</v>
      </c>
      <c r="B9" s="6" t="s">
        <v>244</v>
      </c>
      <c r="C9" s="6" t="s">
        <v>312</v>
      </c>
      <c r="D9" s="27" t="n">
        <v>632.49</v>
      </c>
      <c r="E9" s="27" t="n">
        <v>640.33</v>
      </c>
      <c r="F9" s="27" t="n">
        <v>723.74</v>
      </c>
      <c r="G9" s="27" t="n">
        <v>597.13</v>
      </c>
      <c r="H9" s="22" t="n">
        <v>115</v>
      </c>
      <c r="I9" s="22" t="n">
        <v>278</v>
      </c>
      <c r="J9" s="23" t="n">
        <f aca="false">I9/H9</f>
        <v>2.41739130434783</v>
      </c>
      <c r="K9" s="28" t="n">
        <f aca="false">INDEX('Schools 2026'!$F:$F,MATCH(A9,'Schools 2026'!$A:$A,0))</f>
        <v>4718.38415629614</v>
      </c>
      <c r="L9" s="16" t="n">
        <f aca="false">'Sources &amp; Method'!$B$23*LN(D9)+'Sources &amp; Method'!$B$24*LN(E9)+'Sources &amp; Method'!$B$25*LN(F9)+'Sources &amp; Method'!$B$26*LN(G9)</f>
        <v>6.4535629885684</v>
      </c>
      <c r="M9" s="16" t="n">
        <f aca="false">MAX('Sources &amp; Method'!$B$22,SQRT('Sources &amp; Method'!$B$23*(LN(D9)-L9)^2+'Sources &amp; Method'!$B$24*(LN(E9)-L9)^2+'Sources &amp; Method'!$B$25*(LN(F9)-L9)^2+'Sources &amp; Method'!$B$26*(LN(G9)-L9)^2))</f>
        <v>0.3</v>
      </c>
      <c r="N9" s="21" t="n">
        <f aca="false">EXP(L9)</f>
        <v>634.960624664923</v>
      </c>
      <c r="O9" s="6" t="str">
        <f aca="false">TEXT(EXP(L9-M9),"#,##0")&amp;" – "&amp;TEXT(EXP(L9+M9),"#,##0")</f>
        <v>470 – 857</v>
      </c>
      <c r="P9" s="18" t="n">
        <f aca="false">1-NORMSDIST((LN(K9)-L9)/M9)</f>
        <v>1.15045750703757E-011</v>
      </c>
    </row>
    <row r="10" customFormat="false" ht="15" hidden="false" customHeight="false" outlineLevel="0" collapsed="false">
      <c r="A10" s="6" t="s">
        <v>118</v>
      </c>
      <c r="B10" s="6" t="s">
        <v>245</v>
      </c>
      <c r="C10" s="6" t="s">
        <v>309</v>
      </c>
      <c r="D10" s="27" t="n">
        <v>765.96</v>
      </c>
      <c r="E10" s="27" t="n">
        <v>629.77</v>
      </c>
      <c r="F10" s="27" t="n">
        <v>770.57</v>
      </c>
      <c r="G10" s="27" t="n">
        <v>646.23</v>
      </c>
      <c r="H10" s="22" t="n">
        <v>102</v>
      </c>
      <c r="I10" s="22" t="n">
        <v>238</v>
      </c>
      <c r="J10" s="23" t="n">
        <f aca="false">I10/H10</f>
        <v>2.33333333333333</v>
      </c>
      <c r="K10" s="28" t="n">
        <f aca="false">INDEX('Schools 2026'!$F:$F,MATCH(A10,'Schools 2026'!$A:$A,0))</f>
        <v>765.720759835841</v>
      </c>
      <c r="L10" s="16" t="n">
        <f aca="false">'Sources &amp; Method'!$B$23*LN(D10)+'Sources &amp; Method'!$B$24*LN(E10)+'Sources &amp; Method'!$B$25*LN(F10)+'Sources &amp; Method'!$B$26*LN(G10)</f>
        <v>6.51977783630241</v>
      </c>
      <c r="M10" s="16" t="n">
        <f aca="false">MAX('Sources &amp; Method'!$B$22,SQRT('Sources &amp; Method'!$B$23*(LN(D10)-L10)^2+'Sources &amp; Method'!$B$24*(LN(E10)-L10)^2+'Sources &amp; Method'!$B$25*(LN(F10)-L10)^2+'Sources &amp; Method'!$B$26*(LN(G10)-L10)^2))</f>
        <v>0.3</v>
      </c>
      <c r="N10" s="21" t="n">
        <f aca="false">EXP(L10)</f>
        <v>678.427646601206</v>
      </c>
      <c r="O10" s="6" t="str">
        <f aca="false">TEXT(EXP(L10-M10),"#,##0")&amp;" – "&amp;TEXT(EXP(L10+M10),"#,##0")</f>
        <v>503 – 916</v>
      </c>
      <c r="P10" s="18" t="n">
        <f aca="false">1-NORMSDIST((LN(K10)-L10)/M10)</f>
        <v>0.343302814601428</v>
      </c>
    </row>
    <row r="11" customFormat="false" ht="15" hidden="false" customHeight="false" outlineLevel="0" collapsed="false">
      <c r="A11" s="6" t="s">
        <v>246</v>
      </c>
      <c r="B11" s="6" t="s">
        <v>247</v>
      </c>
      <c r="C11" s="6" t="s">
        <v>311</v>
      </c>
      <c r="D11" s="27" t="n">
        <v>869.11</v>
      </c>
      <c r="E11" s="27" t="n">
        <v>1262.34</v>
      </c>
      <c r="F11" s="27" t="n">
        <v>957.69</v>
      </c>
      <c r="G11" s="27" t="n">
        <v>1075.11</v>
      </c>
      <c r="H11" s="22" t="n">
        <v>140</v>
      </c>
      <c r="I11" s="22" t="n">
        <v>197</v>
      </c>
      <c r="J11" s="23" t="n">
        <f aca="false">I11/H11</f>
        <v>1.40714285714286</v>
      </c>
      <c r="K11" s="28" t="n">
        <f aca="false">INDEX('Schools 2026'!$F:$F,MATCH(A11,'Schools 2026'!$A:$A,0))</f>
        <v>6175.9393064314</v>
      </c>
      <c r="L11" s="16" t="n">
        <f aca="false">'Sources &amp; Method'!$B$23*LN(D11)+'Sources &amp; Method'!$B$24*LN(E11)+'Sources &amp; Method'!$B$25*LN(F11)+'Sources &amp; Method'!$B$26*LN(G11)</f>
        <v>6.9647109252404</v>
      </c>
      <c r="M11" s="16" t="n">
        <f aca="false">MAX('Sources &amp; Method'!$B$22,SQRT('Sources &amp; Method'!$B$23*(LN(D11)-L11)^2+'Sources &amp; Method'!$B$24*(LN(E11)-L11)^2+'Sources &amp; Method'!$B$25*(LN(F11)-L11)^2+'Sources &amp; Method'!$B$26*(LN(G11)-L11)^2))</f>
        <v>0.3</v>
      </c>
      <c r="N11" s="21" t="n">
        <f aca="false">EXP(L11)</f>
        <v>1058.60885609041</v>
      </c>
      <c r="O11" s="6" t="str">
        <f aca="false">TEXT(EXP(L11-M11),"#,##0")&amp;" – "&amp;TEXT(EXP(L11+M11),"#,##0")</f>
        <v>784 – 1,429</v>
      </c>
      <c r="P11" s="18" t="n">
        <f aca="false">1-NORMSDIST((LN(K11)-L11)/M11)</f>
        <v>2.06354000553688E-009</v>
      </c>
    </row>
    <row r="12" customFormat="false" ht="15" hidden="false" customHeight="false" outlineLevel="0" collapsed="false">
      <c r="A12" s="6" t="s">
        <v>250</v>
      </c>
      <c r="B12" s="6" t="s">
        <v>251</v>
      </c>
      <c r="C12" s="6" t="s">
        <v>314</v>
      </c>
      <c r="D12" s="27" t="n">
        <v>418.55</v>
      </c>
      <c r="E12" s="27" t="n">
        <v>588.85</v>
      </c>
      <c r="F12" s="27" t="n">
        <v>526.33</v>
      </c>
      <c r="G12" s="27" t="n">
        <v>456.31</v>
      </c>
      <c r="H12" s="22" t="n">
        <v>95</v>
      </c>
      <c r="I12" s="22" t="n">
        <v>161</v>
      </c>
      <c r="J12" s="23" t="n">
        <f aca="false">I12/H12</f>
        <v>1.69473684210526</v>
      </c>
      <c r="K12" s="28" t="n">
        <f aca="false">INDEX('Schools 2026'!$F:$F,MATCH(A12,'Schools 2026'!$A:$A,0))</f>
        <v>2713.58388886493</v>
      </c>
      <c r="L12" s="16" t="n">
        <f aca="false">'Sources &amp; Method'!$B$23*LN(D12)+'Sources &amp; Method'!$B$24*LN(E12)+'Sources &amp; Method'!$B$25*LN(F12)+'Sources &amp; Method'!$B$26*LN(G12)</f>
        <v>6.19279246001461</v>
      </c>
      <c r="M12" s="16" t="n">
        <f aca="false">MAX('Sources &amp; Method'!$B$22,SQRT('Sources &amp; Method'!$B$23*(LN(D12)-L12)^2+'Sources &amp; Method'!$B$24*(LN(E12)-L12)^2+'Sources &amp; Method'!$B$25*(LN(F12)-L12)^2+'Sources &amp; Method'!$B$26*(LN(G12)-L12)^2))</f>
        <v>0.3</v>
      </c>
      <c r="N12" s="21" t="n">
        <f aca="false">EXP(L12)</f>
        <v>489.210300802267</v>
      </c>
      <c r="O12" s="6" t="str">
        <f aca="false">TEXT(EXP(L12-M12),"#,##0")&amp;" – "&amp;TEXT(EXP(L12+M12),"#,##0")</f>
        <v>362 – 660</v>
      </c>
      <c r="P12" s="18" t="n">
        <f aca="false">1-NORMSDIST((LN(K12)-L12)/M12)</f>
        <v>5.62308211105034E-009</v>
      </c>
    </row>
    <row r="13" customFormat="false" ht="15" hidden="false" customHeight="false" outlineLevel="0" collapsed="false">
      <c r="A13" s="6" t="s">
        <v>252</v>
      </c>
      <c r="B13" s="6" t="s">
        <v>253</v>
      </c>
      <c r="C13" s="6" t="s">
        <v>315</v>
      </c>
      <c r="D13" s="27" t="n">
        <v>3708.81</v>
      </c>
      <c r="E13" s="27" t="n">
        <v>4213.39</v>
      </c>
      <c r="F13" s="27" t="n">
        <v>2717.88</v>
      </c>
      <c r="G13" s="27" t="n">
        <v>1546.72</v>
      </c>
      <c r="H13" s="22" t="n">
        <v>123</v>
      </c>
      <c r="I13" s="22" t="n">
        <v>130</v>
      </c>
      <c r="J13" s="23" t="n">
        <f aca="false">I13/H13</f>
        <v>1.05691056910569</v>
      </c>
      <c r="K13" s="28" t="n">
        <f aca="false">INDEX('Schools 2026'!$F:$F,MATCH(A13,'Schools 2026'!$A:$A,0))</f>
        <v>5002.78717528467</v>
      </c>
      <c r="L13" s="16" t="n">
        <f aca="false">'Sources &amp; Method'!$B$23*LN(D13)+'Sources &amp; Method'!$B$24*LN(E13)+'Sources &amp; Method'!$B$25*LN(F13)+'Sources &amp; Method'!$B$26*LN(G13)</f>
        <v>7.67886911391847</v>
      </c>
      <c r="M13" s="16" t="n">
        <f aca="false">MAX('Sources &amp; Method'!$B$22,SQRT('Sources &amp; Method'!$B$23*(LN(D13)-L13)^2+'Sources &amp; Method'!$B$24*(LN(E13)-L13)^2+'Sources &amp; Method'!$B$25*(LN(F13)-L13)^2+'Sources &amp; Method'!$B$26*(LN(G13)-L13)^2))</f>
        <v>0.395117770655663</v>
      </c>
      <c r="N13" s="21" t="n">
        <f aca="false">EXP(L13)</f>
        <v>2162.17321712378</v>
      </c>
      <c r="O13" s="6" t="str">
        <f aca="false">TEXT(EXP(L13-M13),"#,##0")&amp;" – "&amp;TEXT(EXP(L13+M13),"#,##0")</f>
        <v>1,456 – 3,210</v>
      </c>
      <c r="P13" s="18" t="n">
        <f aca="false">1-NORMSDIST((LN(K13)-L13)/M13)</f>
        <v>0.0168720136561301</v>
      </c>
    </row>
    <row r="14" customFormat="false" ht="15" hidden="false" customHeight="false" outlineLevel="0" collapsed="false">
      <c r="A14" s="6" t="s">
        <v>114</v>
      </c>
      <c r="B14" s="6" t="s">
        <v>256</v>
      </c>
      <c r="C14" s="6" t="s">
        <v>316</v>
      </c>
      <c r="D14" s="27" t="n">
        <v>575.72</v>
      </c>
      <c r="E14" s="27" t="n">
        <v>446.23</v>
      </c>
      <c r="F14" s="27" t="n">
        <v>823.17</v>
      </c>
      <c r="G14" s="27" t="n">
        <v>581.5</v>
      </c>
      <c r="H14" s="22" t="n">
        <v>101</v>
      </c>
      <c r="I14" s="22" t="n">
        <v>237</v>
      </c>
      <c r="J14" s="23" t="n">
        <f aca="false">I14/H14</f>
        <v>2.34653465346535</v>
      </c>
      <c r="K14" s="28" t="n">
        <f aca="false">INDEX('Schools 2026'!$F:$F,MATCH(A14,'Schools 2026'!$A:$A,0))</f>
        <v>1272.1826621976</v>
      </c>
      <c r="L14" s="16" t="n">
        <f aca="false">'Sources &amp; Method'!$B$23*LN(D14)+'Sources &amp; Method'!$B$24*LN(E14)+'Sources &amp; Method'!$B$25*LN(F14)+'Sources &amp; Method'!$B$26*LN(G14)</f>
        <v>6.41228296844814</v>
      </c>
      <c r="M14" s="16" t="n">
        <f aca="false">MAX('Sources &amp; Method'!$B$22,SQRT('Sources &amp; Method'!$B$23*(LN(D14)-L14)^2+'Sources &amp; Method'!$B$24*(LN(E14)-L14)^2+'Sources &amp; Method'!$B$25*(LN(F14)-L14)^2+'Sources &amp; Method'!$B$26*(LN(G14)-L14)^2))</f>
        <v>0.3</v>
      </c>
      <c r="N14" s="21" t="n">
        <f aca="false">EXP(L14)</f>
        <v>609.283068515569</v>
      </c>
      <c r="O14" s="6" t="str">
        <f aca="false">TEXT(EXP(L14-M14),"#,##0")&amp;" – "&amp;TEXT(EXP(L14+M14),"#,##0")</f>
        <v>451 – 822</v>
      </c>
      <c r="P14" s="18" t="n">
        <f aca="false">1-NORMSDIST((LN(K14)-L14)/M14)</f>
        <v>0.00706343214543326</v>
      </c>
    </row>
    <row r="15" customFormat="false" ht="15" hidden="false" customHeight="false" outlineLevel="0" collapsed="false">
      <c r="A15" s="6" t="s">
        <v>259</v>
      </c>
      <c r="B15" s="6" t="s">
        <v>260</v>
      </c>
      <c r="C15" s="6" t="s">
        <v>317</v>
      </c>
      <c r="D15" s="27" t="n">
        <v>557.73</v>
      </c>
      <c r="E15" s="27" t="n">
        <v>1185.11</v>
      </c>
      <c r="F15" s="27" t="n">
        <v>254.25</v>
      </c>
      <c r="G15" s="27" t="n">
        <v>297.55</v>
      </c>
      <c r="H15" s="22" t="n">
        <v>37</v>
      </c>
      <c r="I15" s="22" t="n">
        <v>129</v>
      </c>
      <c r="J15" s="23" t="n">
        <f aca="false">I15/H15</f>
        <v>3.48648648648649</v>
      </c>
      <c r="K15" s="28" t="n">
        <f aca="false">INDEX('Schools 2026'!$F:$F,MATCH(A15,'Schools 2026'!$A:$A,0))</f>
        <v>1930.01958931622</v>
      </c>
      <c r="L15" s="16" t="n">
        <f aca="false">'Sources &amp; Method'!$B$23*LN(D15)+'Sources &amp; Method'!$B$24*LN(E15)+'Sources &amp; Method'!$B$25*LN(F15)+'Sources &amp; Method'!$B$26*LN(G15)</f>
        <v>5.89498214183745</v>
      </c>
      <c r="M15" s="16" t="n">
        <f aca="false">MAX('Sources &amp; Method'!$B$22,SQRT('Sources &amp; Method'!$B$23*(LN(D15)-L15)^2+'Sources &amp; Method'!$B$24*(LN(E15)-L15)^2+'Sources &amp; Method'!$B$25*(LN(F15)-L15)^2+'Sources &amp; Method'!$B$26*(LN(G15)-L15)^2))</f>
        <v>0.522161330723107</v>
      </c>
      <c r="N15" s="21" t="n">
        <f aca="false">EXP(L15)</f>
        <v>363.21034957152</v>
      </c>
      <c r="O15" s="6" t="str">
        <f aca="false">TEXT(EXP(L15-M15),"#,##0")&amp;" – "&amp;TEXT(EXP(L15+M15),"#,##0")</f>
        <v>215 – 612</v>
      </c>
      <c r="P15" s="18" t="n">
        <f aca="false">1-NORMSDIST((LN(K15)-L15)/M15)</f>
        <v>0.000689941896319546</v>
      </c>
    </row>
    <row r="16" customFormat="false" ht="15" hidden="false" customHeight="false" outlineLevel="0" collapsed="false">
      <c r="A16" s="6" t="s">
        <v>261</v>
      </c>
      <c r="B16" s="6" t="s">
        <v>262</v>
      </c>
      <c r="C16" s="6" t="s">
        <v>312</v>
      </c>
      <c r="D16" s="27" t="n">
        <v>444.56</v>
      </c>
      <c r="E16" s="27" t="n">
        <v>320.03</v>
      </c>
      <c r="F16" s="27" t="n">
        <v>354.27</v>
      </c>
      <c r="G16" s="27" t="n">
        <v>525.01</v>
      </c>
      <c r="H16" s="22" t="n">
        <v>90</v>
      </c>
      <c r="I16" s="22" t="n">
        <v>143</v>
      </c>
      <c r="J16" s="23" t="n">
        <f aca="false">I16/H16</f>
        <v>1.58888888888889</v>
      </c>
      <c r="K16" s="28" t="n">
        <f aca="false">INDEX('Schools 2026'!$F:$F,MATCH(A16,'Schools 2026'!$A:$A,0))</f>
        <v>4741.89936233202</v>
      </c>
      <c r="L16" s="16" t="n">
        <f aca="false">'Sources &amp; Method'!$B$23*LN(D16)+'Sources &amp; Method'!$B$24*LN(E16)+'Sources &amp; Method'!$B$25*LN(F16)+'Sources &amp; Method'!$B$26*LN(G16)</f>
        <v>6.08251081674493</v>
      </c>
      <c r="M16" s="16" t="n">
        <f aca="false">MAX('Sources &amp; Method'!$B$22,SQRT('Sources &amp; Method'!$B$23*(LN(D16)-L16)^2+'Sources &amp; Method'!$B$24*(LN(E16)-L16)^2+'Sources &amp; Method'!$B$25*(LN(F16)-L16)^2+'Sources &amp; Method'!$B$26*(LN(G16)-L16)^2))</f>
        <v>0.3</v>
      </c>
      <c r="N16" s="21" t="n">
        <f aca="false">EXP(L16)</f>
        <v>438.127873652056</v>
      </c>
      <c r="O16" s="6" t="str">
        <f aca="false">TEXT(EXP(L16-M16),"#,##0")&amp;" – "&amp;TEXT(EXP(L16+M16),"#,##0")</f>
        <v>325 – 591</v>
      </c>
      <c r="P16" s="18" t="n">
        <f aca="false">1-NORMSDIST((LN(K16)-L16)/M16)</f>
        <v>0</v>
      </c>
    </row>
    <row r="17" customFormat="false" ht="15" hidden="false" customHeight="false" outlineLevel="0" collapsed="false">
      <c r="A17" s="6" t="s">
        <v>273</v>
      </c>
      <c r="B17" s="6" t="s">
        <v>274</v>
      </c>
      <c r="C17" s="6" t="s">
        <v>311</v>
      </c>
      <c r="D17" s="27" t="n">
        <v>2154.6</v>
      </c>
      <c r="E17" s="27" t="n">
        <v>2817.97</v>
      </c>
      <c r="F17" s="27" t="n">
        <v>4526.53</v>
      </c>
      <c r="G17" s="27" t="n">
        <v>1434.71</v>
      </c>
      <c r="H17" s="22" t="n">
        <v>68</v>
      </c>
      <c r="I17" s="22" t="n">
        <v>15</v>
      </c>
      <c r="J17" s="23" t="n">
        <f aca="false">I17/H17</f>
        <v>0.220588235294118</v>
      </c>
      <c r="K17" s="28" t="n">
        <f aca="false">INDEX('Schools 2026'!$F:$F,MATCH(A17,'Schools 2026'!$A:$A,0))</f>
        <v>6996.46679177641</v>
      </c>
      <c r="L17" s="16" t="n">
        <f aca="false">'Sources &amp; Method'!$B$23*LN(D17)+'Sources &amp; Method'!$B$24*LN(E17)+'Sources &amp; Method'!$B$25*LN(F17)+'Sources &amp; Method'!$B$26*LN(G17)</f>
        <v>7.67755646508686</v>
      </c>
      <c r="M17" s="16" t="n">
        <f aca="false">MAX('Sources &amp; Method'!$B$22,SQRT('Sources &amp; Method'!$B$23*(LN(D17)-L17)^2+'Sources &amp; Method'!$B$24*(LN(E17)-L17)^2+'Sources &amp; Method'!$B$25*(LN(F17)-L17)^2+'Sources &amp; Method'!$B$26*(LN(G17)-L17)^2))</f>
        <v>0.489407691052013</v>
      </c>
      <c r="N17" s="21" t="n">
        <f aca="false">EXP(L17)</f>
        <v>2159.33690492478</v>
      </c>
      <c r="O17" s="6" t="str">
        <f aca="false">TEXT(EXP(L17-M17),"#,##0")&amp;" – "&amp;TEXT(EXP(L17+M17),"#,##0")</f>
        <v>1,324 – 3,523</v>
      </c>
      <c r="P17" s="18" t="n">
        <f aca="false">1-NORMSDIST((LN(K17)-L17)/M17)</f>
        <v>0.00815072242384307</v>
      </c>
    </row>
    <row r="18" customFormat="false" ht="15" hidden="false" customHeight="false" outlineLevel="0" collapsed="false">
      <c r="A18" s="6" t="s">
        <v>275</v>
      </c>
      <c r="B18" s="6" t="s">
        <v>276</v>
      </c>
      <c r="C18" s="6" t="s">
        <v>315</v>
      </c>
      <c r="D18" s="27" t="n">
        <v>805.66</v>
      </c>
      <c r="E18" s="27" t="n">
        <v>912.24</v>
      </c>
      <c r="F18" s="27" t="n">
        <v>303.05</v>
      </c>
      <c r="G18" s="27" t="n">
        <v>875.43</v>
      </c>
      <c r="H18" s="22" t="n">
        <v>94</v>
      </c>
      <c r="I18" s="22" t="n">
        <v>110</v>
      </c>
      <c r="J18" s="23" t="n">
        <f aca="false">I18/H18</f>
        <v>1.17021276595745</v>
      </c>
      <c r="K18" s="28" t="n">
        <f aca="false">INDEX('Schools 2026'!$F:$F,MATCH(A18,'Schools 2026'!$A:$A,0))</f>
        <v>3721.59183439813</v>
      </c>
      <c r="L18" s="16" t="n">
        <f aca="false">'Sources &amp; Method'!$B$23*LN(D18)+'Sources &amp; Method'!$B$24*LN(E18)+'Sources &amp; Method'!$B$25*LN(F18)+'Sources &amp; Method'!$B$26*LN(G18)</f>
        <v>6.51153636678537</v>
      </c>
      <c r="M18" s="16" t="n">
        <f aca="false">MAX('Sources &amp; Method'!$B$22,SQRT('Sources &amp; Method'!$B$23*(LN(D18)-L18)^2+'Sources &amp; Method'!$B$24*(LN(E18)-L18)^2+'Sources &amp; Method'!$B$25*(LN(F18)-L18)^2+'Sources &amp; Method'!$B$26*(LN(G18)-L18)^2))</f>
        <v>0.461161193271339</v>
      </c>
      <c r="N18" s="21" t="n">
        <f aca="false">EXP(L18)</f>
        <v>672.859382688063</v>
      </c>
      <c r="O18" s="6" t="str">
        <f aca="false">TEXT(EXP(L18-M18),"#,##0")&amp;" – "&amp;TEXT(EXP(L18+M18),"#,##0")</f>
        <v>424 – 1,067</v>
      </c>
      <c r="P18" s="18" t="n">
        <f aca="false">1-NORMSDIST((LN(K18)-L18)/M18)</f>
        <v>0.00010410785757109</v>
      </c>
    </row>
    <row r="19" customFormat="false" ht="15" hidden="false" customHeight="false" outlineLevel="0" collapsed="false">
      <c r="A19" s="6" t="s">
        <v>285</v>
      </c>
      <c r="B19" s="6" t="s">
        <v>286</v>
      </c>
      <c r="C19" s="6" t="s">
        <v>313</v>
      </c>
      <c r="D19" s="27" t="n">
        <v>241.77</v>
      </c>
      <c r="E19" s="27" t="n">
        <v>218.49</v>
      </c>
      <c r="F19" s="27" t="n">
        <v>672.49</v>
      </c>
      <c r="G19" s="27" t="n">
        <v>261.06</v>
      </c>
      <c r="H19" s="22" t="n">
        <v>40</v>
      </c>
      <c r="I19" s="22" t="n">
        <v>83</v>
      </c>
      <c r="J19" s="23" t="n">
        <f aca="false">I19/H19</f>
        <v>2.075</v>
      </c>
      <c r="K19" s="28" t="n">
        <f aca="false">INDEX('Schools 2026'!$F:$F,MATCH(A19,'Schools 2026'!$A:$A,0))</f>
        <v>1850.17019817823</v>
      </c>
      <c r="L19" s="16" t="n">
        <f aca="false">'Sources &amp; Method'!$B$23*LN(D19)+'Sources &amp; Method'!$B$24*LN(E19)+'Sources &amp; Method'!$B$25*LN(F19)+'Sources &amp; Method'!$B$26*LN(G19)</f>
        <v>5.77076983673251</v>
      </c>
      <c r="M19" s="16" t="n">
        <f aca="false">MAX('Sources &amp; Method'!$B$22,SQRT('Sources &amp; Method'!$B$23*(LN(D19)-L19)^2+'Sources &amp; Method'!$B$24*(LN(E19)-L19)^2+'Sources &amp; Method'!$B$25*(LN(F19)-L19)^2+'Sources &amp; Method'!$B$26*(LN(G19)-L19)^2))</f>
        <v>0.431792549689745</v>
      </c>
      <c r="N19" s="21" t="n">
        <f aca="false">EXP(L19)</f>
        <v>320.784589375601</v>
      </c>
      <c r="O19" s="6" t="str">
        <f aca="false">TEXT(EXP(L19-M19),"#,##0")&amp;" – "&amp;TEXT(EXP(L19+M19),"#,##0")</f>
        <v>208 – 494</v>
      </c>
      <c r="P19" s="18" t="n">
        <f aca="false">1-NORMSDIST((LN(K19)-L19)/M19)</f>
        <v>2.47353865975297E-005</v>
      </c>
    </row>
    <row r="20" customFormat="false" ht="15" hidden="false" customHeight="false" outlineLevel="0" collapsed="false">
      <c r="A20" s="6" t="s">
        <v>287</v>
      </c>
      <c r="B20" s="6" t="s">
        <v>288</v>
      </c>
      <c r="C20" s="6" t="s">
        <v>316</v>
      </c>
      <c r="D20" s="27" t="n">
        <v>642.76</v>
      </c>
      <c r="E20" s="27" t="n">
        <v>4237.98</v>
      </c>
      <c r="F20" s="27" t="n">
        <v>6654.98</v>
      </c>
      <c r="G20" s="27" t="n">
        <v>667.97</v>
      </c>
      <c r="H20" s="22" t="n">
        <v>40</v>
      </c>
      <c r="I20" s="22" t="n">
        <v>61</v>
      </c>
      <c r="J20" s="23" t="n">
        <f aca="false">I20/H20</f>
        <v>1.525</v>
      </c>
      <c r="K20" s="28" t="n">
        <f aca="false">INDEX('Schools 2026'!$F:$F,MATCH(A20,'Schools 2026'!$A:$A,0))</f>
        <v>3437.43243279299</v>
      </c>
      <c r="L20" s="16" t="n">
        <f aca="false">'Sources &amp; Method'!$B$23*LN(D20)+'Sources &amp; Method'!$B$24*LN(E20)+'Sources &amp; Method'!$B$25*LN(F20)+'Sources &amp; Method'!$B$26*LN(G20)</f>
        <v>7.35417884883322</v>
      </c>
      <c r="M20" s="16" t="n">
        <f aca="false">MAX('Sources &amp; Method'!$B$22,SQRT('Sources &amp; Method'!$B$23*(LN(D20)-L20)^2+'Sources &amp; Method'!$B$24*(LN(E20)-L20)^2+'Sources &amp; Method'!$B$25*(LN(F20)-L20)^2+'Sources &amp; Method'!$B$26*(LN(G20)-L20)^2))</f>
        <v>1.0540095236369</v>
      </c>
      <c r="N20" s="21" t="n">
        <f aca="false">EXP(L20)</f>
        <v>1562.71324458553</v>
      </c>
      <c r="O20" s="6" t="str">
        <f aca="false">TEXT(EXP(L20-M20),"#,##0")&amp;" – "&amp;TEXT(EXP(L20+M20),"#,##0")</f>
        <v>545 – 4,484</v>
      </c>
      <c r="P20" s="18" t="n">
        <f aca="false">1-NORMSDIST((LN(K20)-L20)/M20)</f>
        <v>0.2272580885267</v>
      </c>
    </row>
    <row r="22" customFormat="false" ht="15" hidden="false" customHeight="false" outlineLevel="0" collapsed="false">
      <c r="A22" s="2" t="s">
        <v>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4" min="2" style="0" width="12"/>
    <col collapsed="false" customWidth="true" hidden="false" outlineLevel="0" max="5" min="5" style="0" width="14"/>
    <col collapsed="false" customWidth="true" hidden="false" outlineLevel="0" max="6" min="6" style="0" width="60"/>
  </cols>
  <sheetData>
    <row r="1" customFormat="false" ht="31.5" hidden="false" customHeight="true" outlineLevel="0" collapsed="false">
      <c r="A1" s="3" t="s">
        <v>125</v>
      </c>
      <c r="B1" s="3" t="s">
        <v>319</v>
      </c>
      <c r="C1" s="3" t="s">
        <v>320</v>
      </c>
      <c r="D1" s="3" t="s">
        <v>321</v>
      </c>
      <c r="E1" s="3" t="s">
        <v>322</v>
      </c>
      <c r="F1" s="3" t="s">
        <v>323</v>
      </c>
    </row>
    <row r="2" customFormat="false" ht="15" hidden="false" customHeight="false" outlineLevel="0" collapsed="false">
      <c r="A2" s="6" t="s">
        <v>113</v>
      </c>
      <c r="B2" s="24" t="n">
        <v>96.7</v>
      </c>
      <c r="C2" s="24" t="n">
        <v>97.24</v>
      </c>
      <c r="D2" s="24" t="n">
        <v>97.28</v>
      </c>
      <c r="E2" s="26" t="n">
        <f aca="false">INDEX('Schools 2026'!$J:$J,MATCH(A2,'Schools 2026'!$A:$A,0))</f>
        <v>92.179</v>
      </c>
      <c r="F2" s="6" t="str">
        <f aca="false">IF(E2&gt;80,"Only ranks 1–3 admitted","Accepted unranked students (too few applicants)")</f>
        <v>Only ranks 1–3 admitted</v>
      </c>
    </row>
    <row r="3" customFormat="false" ht="15" hidden="false" customHeight="false" outlineLevel="0" collapsed="false">
      <c r="A3" s="6" t="s">
        <v>102</v>
      </c>
      <c r="B3" s="24" t="n">
        <v>96.64</v>
      </c>
      <c r="C3" s="24" t="n">
        <v>97.05</v>
      </c>
      <c r="D3" s="24" t="n">
        <v>97.47</v>
      </c>
      <c r="E3" s="26" t="n">
        <f aca="false">INDEX('Schools 2026'!$J:$J,MATCH(A3,'Schools 2026'!$A:$A,0))</f>
        <v>89.87</v>
      </c>
      <c r="F3" s="6" t="str">
        <f aca="false">IF(E3&gt;80,"Only ranks 1–3 admitted","Accepted unranked students (too few applicants)")</f>
        <v>Only ranks 1–3 admitted</v>
      </c>
    </row>
    <row r="4" customFormat="false" ht="15" hidden="false" customHeight="false" outlineLevel="0" collapsed="false">
      <c r="A4" s="6" t="s">
        <v>182</v>
      </c>
      <c r="B4" s="24" t="n">
        <v>92.814</v>
      </c>
      <c r="C4" s="24" t="n">
        <v>94.327</v>
      </c>
      <c r="D4" s="24" t="n">
        <v>92.624</v>
      </c>
      <c r="E4" s="26" t="n">
        <f aca="false">INDEX('Schools 2026'!$J:$J,MATCH(A4,'Schools 2026'!$A:$A,0))</f>
        <v>85.59</v>
      </c>
      <c r="F4" s="6" t="str">
        <f aca="false">IF(E4&gt;80,"Only ranks 1–3 admitted","Accepted unranked students (too few applicants)")</f>
        <v>Only ranks 1–3 admitted</v>
      </c>
    </row>
    <row r="5" customFormat="false" ht="15" hidden="false" customHeight="false" outlineLevel="0" collapsed="false">
      <c r="A5" s="6" t="s">
        <v>230</v>
      </c>
      <c r="B5" s="24" t="n">
        <v>35.49</v>
      </c>
      <c r="C5" s="24" t="n">
        <v>36.29</v>
      </c>
      <c r="D5" s="24" t="n">
        <v>34.74</v>
      </c>
      <c r="E5" s="26" t="n">
        <f aca="false">INDEX('Schools 2026'!$J:$J,MATCH(A5,'Schools 2026'!$A:$A,0))</f>
        <v>43.032</v>
      </c>
      <c r="F5" s="6" t="str">
        <f aca="false">IF(E5&gt;80,"Only ranks 1–3 admitted","Accepted unranked students (too few applicants)")</f>
        <v>Accepted unranked students (too few applicants)</v>
      </c>
    </row>
    <row r="6" customFormat="false" ht="15" hidden="false" customHeight="false" outlineLevel="0" collapsed="false">
      <c r="A6" s="6" t="s">
        <v>236</v>
      </c>
      <c r="B6" s="24" t="n">
        <v>93.634</v>
      </c>
      <c r="C6" s="24" t="n">
        <v>96.13</v>
      </c>
      <c r="D6" s="24" t="n">
        <v>93.387</v>
      </c>
      <c r="E6" s="26" t="n">
        <f aca="false">INDEX('Schools 2026'!$J:$J,MATCH(A6,'Schools 2026'!$A:$A,0))</f>
        <v>87.289</v>
      </c>
      <c r="F6" s="6" t="str">
        <f aca="false">IF(E6&gt;80,"Only ranks 1–3 admitted","Accepted unranked students (too few applicants)")</f>
        <v>Only ranks 1–3 admitted</v>
      </c>
    </row>
    <row r="7" customFormat="false" ht="15" hidden="false" customHeight="false" outlineLevel="0" collapsed="false">
      <c r="A7" s="6" t="s">
        <v>104</v>
      </c>
      <c r="B7" s="24" t="n">
        <v>94.637</v>
      </c>
      <c r="C7" s="24" t="n">
        <v>93.724</v>
      </c>
      <c r="D7" s="24" t="n">
        <v>34.96</v>
      </c>
      <c r="E7" s="26" t="n">
        <f aca="false">INDEX('Schools 2026'!$J:$J,MATCH(A7,'Schools 2026'!$A:$A,0))</f>
        <v>86.699</v>
      </c>
      <c r="F7" s="6" t="str">
        <f aca="false">IF(E7&gt;80,"Only ranks 1–3 admitted","Accepted unranked students (too few applicants)")</f>
        <v>Only ranks 1–3 admitted</v>
      </c>
    </row>
    <row r="8" customFormat="false" ht="15" hidden="false" customHeight="false" outlineLevel="0" collapsed="false">
      <c r="A8" s="6" t="s">
        <v>241</v>
      </c>
      <c r="B8" s="24" t="n">
        <v>37.03</v>
      </c>
      <c r="C8" s="24" t="n">
        <v>92.917</v>
      </c>
      <c r="D8" s="24" t="n">
        <v>32.73</v>
      </c>
      <c r="E8" s="26" t="n">
        <f aca="false">INDEX('Schools 2026'!$J:$J,MATCH(A8,'Schools 2026'!$A:$A,0))</f>
        <v>48.863</v>
      </c>
      <c r="F8" s="6" t="str">
        <f aca="false">IF(E8&gt;80,"Only ranks 1–3 admitted","Accepted unranked students (too few applicants)")</f>
        <v>Accepted unranked students (too few applicants)</v>
      </c>
    </row>
    <row r="9" customFormat="false" ht="15" hidden="false" customHeight="false" outlineLevel="0" collapsed="false">
      <c r="A9" s="6" t="s">
        <v>243</v>
      </c>
      <c r="B9" s="24" t="n">
        <v>91.797</v>
      </c>
      <c r="C9" s="24" t="n">
        <v>94.347</v>
      </c>
      <c r="D9" s="24" t="n">
        <v>35.05</v>
      </c>
      <c r="E9" s="26" t="n">
        <f aca="false">INDEX('Schools 2026'!$J:$J,MATCH(A9,'Schools 2026'!$A:$A,0))</f>
        <v>84.73</v>
      </c>
      <c r="F9" s="6" t="str">
        <f aca="false">IF(E9&gt;80,"Only ranks 1–3 admitted","Accepted unranked students (too few applicants)")</f>
        <v>Only ranks 1–3 admitted</v>
      </c>
    </row>
    <row r="10" customFormat="false" ht="15" hidden="false" customHeight="false" outlineLevel="0" collapsed="false">
      <c r="A10" s="6" t="s">
        <v>118</v>
      </c>
      <c r="B10" s="24" t="n">
        <v>94.417</v>
      </c>
      <c r="C10" s="24" t="n">
        <v>94.287</v>
      </c>
      <c r="D10" s="24" t="n">
        <v>92.644</v>
      </c>
      <c r="E10" s="26" t="n">
        <f aca="false">INDEX('Schools 2026'!$J:$J,MATCH(A10,'Schools 2026'!$A:$A,0))</f>
        <v>86.567</v>
      </c>
      <c r="F10" s="6" t="str">
        <f aca="false">IF(E10&gt;80,"Only ranks 1–3 admitted","Accepted unranked students (too few applicants)")</f>
        <v>Only ranks 1–3 admitted</v>
      </c>
    </row>
    <row r="11" customFormat="false" ht="15" hidden="false" customHeight="false" outlineLevel="0" collapsed="false">
      <c r="A11" s="6" t="s">
        <v>246</v>
      </c>
      <c r="B11" s="24" t="n">
        <v>90.774</v>
      </c>
      <c r="C11" s="24" t="n">
        <v>93.047</v>
      </c>
      <c r="D11" s="24" t="n">
        <v>38.86</v>
      </c>
      <c r="E11" s="26" t="n">
        <f aca="false">INDEX('Schools 2026'!$J:$J,MATCH(A11,'Schools 2026'!$A:$A,0))</f>
        <v>84.848</v>
      </c>
      <c r="F11" s="6" t="str">
        <f aca="false">IF(E11&gt;80,"Only ranks 1–3 admitted","Accepted unranked students (too few applicants)")</f>
        <v>Only ranks 1–3 admitted</v>
      </c>
    </row>
    <row r="12" customFormat="false" ht="15" hidden="false" customHeight="false" outlineLevel="0" collapsed="false">
      <c r="A12" s="6" t="s">
        <v>250</v>
      </c>
      <c r="B12" s="24" t="n">
        <v>92.327</v>
      </c>
      <c r="C12" s="24" t="n">
        <v>92.777</v>
      </c>
      <c r="D12" s="24" t="n">
        <v>35.48</v>
      </c>
      <c r="E12" s="26" t="n">
        <f aca="false">INDEX('Schools 2026'!$J:$J,MATCH(A12,'Schools 2026'!$A:$A,0))</f>
        <v>45.128</v>
      </c>
      <c r="F12" s="6" t="str">
        <f aca="false">IF(E12&gt;80,"Only ranks 1–3 admitted","Accepted unranked students (too few applicants)")</f>
        <v>Accepted unranked students (too few applicants)</v>
      </c>
    </row>
    <row r="13" customFormat="false" ht="15" hidden="false" customHeight="false" outlineLevel="0" collapsed="false">
      <c r="A13" s="6" t="s">
        <v>252</v>
      </c>
      <c r="B13" s="24" t="n">
        <v>33.88</v>
      </c>
      <c r="C13" s="24" t="n">
        <v>35.16</v>
      </c>
      <c r="D13" s="24" t="n">
        <v>33.36</v>
      </c>
      <c r="E13" s="26" t="n">
        <f aca="false">INDEX('Schools 2026'!$J:$J,MATCH(A13,'Schools 2026'!$A:$A,0))</f>
        <v>38.162</v>
      </c>
      <c r="F13" s="6" t="str">
        <f aca="false">IF(E13&gt;80,"Only ranks 1–3 admitted","Accepted unranked students (too few applicants)")</f>
        <v>Accepted unranked students (too few applicants)</v>
      </c>
    </row>
    <row r="14" customFormat="false" ht="15" hidden="false" customHeight="false" outlineLevel="0" collapsed="false">
      <c r="A14" s="6" t="s">
        <v>114</v>
      </c>
      <c r="B14" s="24" t="n">
        <v>91.854</v>
      </c>
      <c r="C14" s="24" t="n">
        <v>93.707</v>
      </c>
      <c r="D14" s="24" t="n">
        <v>91.584</v>
      </c>
      <c r="E14" s="26" t="n">
        <f aca="false">INDEX('Schools 2026'!$J:$J,MATCH(A14,'Schools 2026'!$A:$A,0))</f>
        <v>85.017</v>
      </c>
      <c r="F14" s="6" t="str">
        <f aca="false">IF(E14&gt;80,"Only ranks 1–3 admitted","Accepted unranked students (too few applicants)")</f>
        <v>Only ranks 1–3 admitted</v>
      </c>
    </row>
    <row r="15" customFormat="false" ht="15" hidden="false" customHeight="false" outlineLevel="0" collapsed="false">
      <c r="A15" s="6" t="s">
        <v>259</v>
      </c>
      <c r="B15" s="24" t="n">
        <v>90.644</v>
      </c>
      <c r="C15" s="24" t="n">
        <v>36.21</v>
      </c>
      <c r="D15" s="24" t="n">
        <v>92.684</v>
      </c>
      <c r="E15" s="26" t="n">
        <f aca="false">INDEX('Schools 2026'!$J:$J,MATCH(A15,'Schools 2026'!$A:$A,0))</f>
        <v>45.948</v>
      </c>
      <c r="F15" s="6" t="str">
        <f aca="false">IF(E15&gt;80,"Only ranks 1–3 admitted","Accepted unranked students (too few applicants)")</f>
        <v>Accepted unranked students (too few applicants)</v>
      </c>
    </row>
    <row r="16" customFormat="false" ht="15" hidden="false" customHeight="false" outlineLevel="0" collapsed="false">
      <c r="A16" s="6" t="s">
        <v>261</v>
      </c>
      <c r="B16" s="24" t="n">
        <v>90.424</v>
      </c>
      <c r="C16" s="24" t="n">
        <v>93.65</v>
      </c>
      <c r="D16" s="24" t="n">
        <v>34.6</v>
      </c>
      <c r="E16" s="26" t="n">
        <f aca="false">INDEX('Schools 2026'!$J:$J,MATCH(A16,'Schools 2026'!$A:$A,0))</f>
        <v>46.152</v>
      </c>
      <c r="F16" s="6" t="str">
        <f aca="false">IF(E16&gt;80,"Only ranks 1–3 admitted","Accepted unranked students (too few applicants)")</f>
        <v>Accepted unranked students (too few applicants)</v>
      </c>
    </row>
    <row r="17" customFormat="false" ht="15" hidden="false" customHeight="false" outlineLevel="0" collapsed="false">
      <c r="A17" s="6" t="s">
        <v>273</v>
      </c>
      <c r="B17" s="24" t="n">
        <v>34.49</v>
      </c>
      <c r="C17" s="24" t="n">
        <v>35.22</v>
      </c>
      <c r="D17" s="24" t="n">
        <v>35.15</v>
      </c>
      <c r="E17" s="26" t="n">
        <f aca="false">INDEX('Schools 2026'!$J:$J,MATCH(A17,'Schools 2026'!$A:$A,0))</f>
        <v>43.116</v>
      </c>
      <c r="F17" s="6" t="str">
        <f aca="false">IF(E17&gt;80,"Only ranks 1–3 admitted","Accepted unranked students (too few applicants)")</f>
        <v>Accepted unranked students (too few applicants)</v>
      </c>
    </row>
    <row r="18" customFormat="false" ht="15" hidden="false" customHeight="false" outlineLevel="0" collapsed="false">
      <c r="A18" s="6" t="s">
        <v>275</v>
      </c>
      <c r="B18" s="24" t="n">
        <v>35.28</v>
      </c>
      <c r="C18" s="24" t="n">
        <v>37.43</v>
      </c>
      <c r="D18" s="24" t="n">
        <v>33.53</v>
      </c>
      <c r="E18" s="26" t="n">
        <f aca="false">INDEX('Schools 2026'!$J:$J,MATCH(A18,'Schools 2026'!$A:$A,0))</f>
        <v>42.942</v>
      </c>
      <c r="F18" s="6" t="str">
        <f aca="false">IF(E18&gt;80,"Only ranks 1–3 admitted","Accepted unranked students (too few applicants)")</f>
        <v>Accepted unranked students (too few applicants)</v>
      </c>
    </row>
    <row r="19" customFormat="false" ht="15" hidden="false" customHeight="false" outlineLevel="0" collapsed="false">
      <c r="A19" s="6" t="s">
        <v>285</v>
      </c>
      <c r="B19" s="24" t="n">
        <v>90.944</v>
      </c>
      <c r="C19" s="24" t="n">
        <v>90.944</v>
      </c>
      <c r="D19" s="24" t="n">
        <v>33.3</v>
      </c>
      <c r="E19" s="26" t="n">
        <f aca="false">INDEX('Schools 2026'!$J:$J,MATCH(A19,'Schools 2026'!$A:$A,0))</f>
        <v>46.292</v>
      </c>
      <c r="F19" s="6" t="str">
        <f aca="false">IF(E19&gt;80,"Only ranks 1–3 admitted","Accepted unranked students (too few applicants)")</f>
        <v>Accepted unranked students (too few applicants)</v>
      </c>
    </row>
    <row r="20" customFormat="false" ht="15" hidden="false" customHeight="false" outlineLevel="0" collapsed="false">
      <c r="A20" s="6" t="s">
        <v>287</v>
      </c>
      <c r="B20" s="24" t="n">
        <v>34.58</v>
      </c>
      <c r="C20" s="24" t="n">
        <v>34.73</v>
      </c>
      <c r="D20" s="24" t="n">
        <v>34.61</v>
      </c>
      <c r="E20" s="26" t="n">
        <f aca="false">INDEX('Schools 2026'!$J:$J,MATCH(A20,'Schools 2026'!$A:$A,0))</f>
        <v>45.569</v>
      </c>
      <c r="F20" s="6" t="str">
        <f aca="false">IF(E20&gt;80,"Only ranks 1–3 admitted","Accepted unranked students (too few applicants)")</f>
        <v>Accepted unranked students (too few applicants)</v>
      </c>
    </row>
    <row r="22" customFormat="false" ht="15" hidden="false" customHeight="false" outlineLevel="0" collapsed="false">
      <c r="A22" s="2" t="s">
        <v>324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0"/>
    <col collapsed="false" customWidth="true" hidden="false" outlineLevel="0" max="3" min="3" style="0" width="8"/>
    <col collapsed="false" customWidth="true" hidden="false" outlineLevel="0" max="4" min="4" style="0" width="14"/>
    <col collapsed="false" customWidth="true" hidden="false" outlineLevel="0" max="5" min="5" style="0" width="20"/>
    <col collapsed="false" customWidth="true" hidden="false" outlineLevel="0" max="6" min="6" style="0" width="8"/>
  </cols>
  <sheetData>
    <row r="1" customFormat="false" ht="31.5" hidden="false" customHeight="true" outlineLevel="0" collapsed="false">
      <c r="A1" s="3" t="s">
        <v>325</v>
      </c>
      <c r="B1" s="3" t="s">
        <v>326</v>
      </c>
      <c r="C1" s="3" t="s">
        <v>327</v>
      </c>
      <c r="D1" s="3" t="s">
        <v>328</v>
      </c>
      <c r="E1" s="3" t="s">
        <v>329</v>
      </c>
      <c r="F1" s="3" t="s">
        <v>330</v>
      </c>
    </row>
    <row r="2" customFormat="false" ht="15" hidden="false" customHeight="false" outlineLevel="0" collapsed="false">
      <c r="A2" s="6" t="s">
        <v>109</v>
      </c>
      <c r="B2" s="6" t="s">
        <v>331</v>
      </c>
      <c r="C2" s="6" t="n">
        <v>1</v>
      </c>
      <c r="D2" s="6" t="n">
        <v>0</v>
      </c>
      <c r="E2" s="6" t="str">
        <f aca="false">A2&amp;"|"&amp;B2&amp;"|"&amp;C2&amp;"|"&amp;D2</f>
        <v>gov|intl|1|0</v>
      </c>
      <c r="F2" s="22" t="n">
        <v>999</v>
      </c>
    </row>
    <row r="3" customFormat="false" ht="15" hidden="false" customHeight="false" outlineLevel="0" collapsed="false">
      <c r="A3" s="6" t="s">
        <v>109</v>
      </c>
      <c r="B3" s="6" t="s">
        <v>331</v>
      </c>
      <c r="C3" s="6" t="n">
        <v>1</v>
      </c>
      <c r="D3" s="6" t="n">
        <v>1</v>
      </c>
      <c r="E3" s="6" t="str">
        <f aca="false">A3&amp;"|"&amp;B3&amp;"|"&amp;C3&amp;"|"&amp;D3</f>
        <v>gov|intl|1|1</v>
      </c>
      <c r="F3" s="22" t="n">
        <v>999</v>
      </c>
    </row>
    <row r="4" customFormat="false" ht="15" hidden="false" customHeight="false" outlineLevel="0" collapsed="false">
      <c r="A4" s="6" t="s">
        <v>109</v>
      </c>
      <c r="B4" s="6" t="s">
        <v>331</v>
      </c>
      <c r="C4" s="6" t="n">
        <v>2</v>
      </c>
      <c r="D4" s="6" t="n">
        <v>0</v>
      </c>
      <c r="E4" s="6" t="str">
        <f aca="false">A4&amp;"|"&amp;B4&amp;"|"&amp;C4&amp;"|"&amp;D4</f>
        <v>gov|intl|2|0</v>
      </c>
      <c r="F4" s="22" t="n">
        <v>999</v>
      </c>
    </row>
    <row r="5" customFormat="false" ht="15" hidden="false" customHeight="false" outlineLevel="0" collapsed="false">
      <c r="A5" s="6" t="s">
        <v>109</v>
      </c>
      <c r="B5" s="6" t="s">
        <v>331</v>
      </c>
      <c r="C5" s="6" t="n">
        <v>2</v>
      </c>
      <c r="D5" s="6" t="n">
        <v>1</v>
      </c>
      <c r="E5" s="6" t="str">
        <f aca="false">A5&amp;"|"&amp;B5&amp;"|"&amp;C5&amp;"|"&amp;D5</f>
        <v>gov|intl|2|1</v>
      </c>
      <c r="F5" s="22" t="n">
        <v>999</v>
      </c>
    </row>
    <row r="6" customFormat="false" ht="15" hidden="false" customHeight="false" outlineLevel="0" collapsed="false">
      <c r="A6" s="6" t="s">
        <v>109</v>
      </c>
      <c r="B6" s="6" t="s">
        <v>331</v>
      </c>
      <c r="C6" s="6" t="n">
        <v>3</v>
      </c>
      <c r="D6" s="6" t="n">
        <v>0</v>
      </c>
      <c r="E6" s="6" t="str">
        <f aca="false">A6&amp;"|"&amp;B6&amp;"|"&amp;C6&amp;"|"&amp;D6</f>
        <v>gov|intl|3|0</v>
      </c>
      <c r="F6" s="22" t="n">
        <v>999</v>
      </c>
    </row>
    <row r="7" customFormat="false" ht="15" hidden="false" customHeight="false" outlineLevel="0" collapsed="false">
      <c r="A7" s="6" t="s">
        <v>109</v>
      </c>
      <c r="B7" s="6" t="s">
        <v>331</v>
      </c>
      <c r="C7" s="6" t="n">
        <v>3</v>
      </c>
      <c r="D7" s="6" t="n">
        <v>1</v>
      </c>
      <c r="E7" s="6" t="str">
        <f aca="false">A7&amp;"|"&amp;B7&amp;"|"&amp;C7&amp;"|"&amp;D7</f>
        <v>gov|intl|3|1</v>
      </c>
      <c r="F7" s="22" t="n">
        <v>999</v>
      </c>
    </row>
    <row r="8" customFormat="false" ht="15" hidden="false" customHeight="false" outlineLevel="0" collapsed="false">
      <c r="A8" s="6" t="s">
        <v>109</v>
      </c>
      <c r="B8" s="6" t="s">
        <v>332</v>
      </c>
      <c r="C8" s="6" t="n">
        <v>1</v>
      </c>
      <c r="D8" s="6" t="n">
        <v>0</v>
      </c>
      <c r="E8" s="6" t="str">
        <f aca="false">A8&amp;"|"&amp;B8&amp;"|"&amp;C8&amp;"|"&amp;D8</f>
        <v>gov|nat|1|0</v>
      </c>
      <c r="F8" s="22" t="n">
        <v>999</v>
      </c>
    </row>
    <row r="9" customFormat="false" ht="15" hidden="false" customHeight="false" outlineLevel="0" collapsed="false">
      <c r="A9" s="6" t="s">
        <v>109</v>
      </c>
      <c r="B9" s="6" t="s">
        <v>332</v>
      </c>
      <c r="C9" s="6" t="n">
        <v>1</v>
      </c>
      <c r="D9" s="6" t="n">
        <v>1</v>
      </c>
      <c r="E9" s="6" t="str">
        <f aca="false">A9&amp;"|"&amp;B9&amp;"|"&amp;C9&amp;"|"&amp;D9</f>
        <v>gov|nat|1|1</v>
      </c>
      <c r="F9" s="22" t="n">
        <v>999</v>
      </c>
    </row>
    <row r="10" customFormat="false" ht="15" hidden="false" customHeight="false" outlineLevel="0" collapsed="false">
      <c r="A10" s="6" t="s">
        <v>109</v>
      </c>
      <c r="B10" s="6" t="s">
        <v>332</v>
      </c>
      <c r="C10" s="6" t="n">
        <v>2</v>
      </c>
      <c r="D10" s="6" t="n">
        <v>0</v>
      </c>
      <c r="E10" s="6" t="str">
        <f aca="false">A10&amp;"|"&amp;B10&amp;"|"&amp;C10&amp;"|"&amp;D10</f>
        <v>gov|nat|2|0</v>
      </c>
      <c r="F10" s="22" t="n">
        <v>999</v>
      </c>
    </row>
    <row r="11" customFormat="false" ht="15" hidden="false" customHeight="false" outlineLevel="0" collapsed="false">
      <c r="A11" s="6" t="s">
        <v>109</v>
      </c>
      <c r="B11" s="6" t="s">
        <v>332</v>
      </c>
      <c r="C11" s="6" t="n">
        <v>2</v>
      </c>
      <c r="D11" s="6" t="n">
        <v>1</v>
      </c>
      <c r="E11" s="6" t="str">
        <f aca="false">A11&amp;"|"&amp;B11&amp;"|"&amp;C11&amp;"|"&amp;D11</f>
        <v>gov|nat|2|1</v>
      </c>
      <c r="F11" s="22" t="n">
        <v>999</v>
      </c>
    </row>
    <row r="12" customFormat="false" ht="15" hidden="false" customHeight="false" outlineLevel="0" collapsed="false">
      <c r="A12" s="6" t="s">
        <v>109</v>
      </c>
      <c r="B12" s="6" t="s">
        <v>332</v>
      </c>
      <c r="C12" s="6" t="n">
        <v>3</v>
      </c>
      <c r="D12" s="6" t="n">
        <v>0</v>
      </c>
      <c r="E12" s="6" t="str">
        <f aca="false">A12&amp;"|"&amp;B12&amp;"|"&amp;C12&amp;"|"&amp;D12</f>
        <v>gov|nat|3|0</v>
      </c>
      <c r="F12" s="22" t="n">
        <v>999</v>
      </c>
    </row>
    <row r="13" customFormat="false" ht="15" hidden="false" customHeight="false" outlineLevel="0" collapsed="false">
      <c r="A13" s="6" t="s">
        <v>109</v>
      </c>
      <c r="B13" s="6" t="s">
        <v>332</v>
      </c>
      <c r="C13" s="6" t="n">
        <v>3</v>
      </c>
      <c r="D13" s="6" t="n">
        <v>1</v>
      </c>
      <c r="E13" s="6" t="str">
        <f aca="false">A13&amp;"|"&amp;B13&amp;"|"&amp;C13&amp;"|"&amp;D13</f>
        <v>gov|nat|3|1</v>
      </c>
      <c r="F13" s="22" t="n">
        <v>999</v>
      </c>
    </row>
    <row r="14" customFormat="false" ht="15" hidden="false" customHeight="false" outlineLevel="0" collapsed="false">
      <c r="A14" s="6" t="s">
        <v>109</v>
      </c>
      <c r="B14" s="6" t="s">
        <v>110</v>
      </c>
      <c r="C14" s="6" t="n">
        <v>1</v>
      </c>
      <c r="D14" s="6" t="n">
        <v>0</v>
      </c>
      <c r="E14" s="6" t="str">
        <f aca="false">A14&amp;"|"&amp;B14&amp;"|"&amp;C14&amp;"|"&amp;D14</f>
        <v>gov|prov|1|0</v>
      </c>
      <c r="F14" s="22" t="n">
        <v>100</v>
      </c>
    </row>
    <row r="15" customFormat="false" ht="15" hidden="false" customHeight="false" outlineLevel="0" collapsed="false">
      <c r="A15" s="6" t="s">
        <v>109</v>
      </c>
      <c r="B15" s="6" t="s">
        <v>110</v>
      </c>
      <c r="C15" s="6" t="n">
        <v>1</v>
      </c>
      <c r="D15" s="6" t="n">
        <v>1</v>
      </c>
      <c r="E15" s="6" t="str">
        <f aca="false">A15&amp;"|"&amp;B15&amp;"|"&amp;C15&amp;"|"&amp;D15</f>
        <v>gov|prov|1|1</v>
      </c>
      <c r="F15" s="22" t="n">
        <v>60</v>
      </c>
    </row>
    <row r="16" customFormat="false" ht="15" hidden="false" customHeight="false" outlineLevel="0" collapsed="false">
      <c r="A16" s="6" t="s">
        <v>109</v>
      </c>
      <c r="B16" s="6" t="s">
        <v>110</v>
      </c>
      <c r="C16" s="6" t="n">
        <v>2</v>
      </c>
      <c r="D16" s="6" t="n">
        <v>0</v>
      </c>
      <c r="E16" s="6" t="str">
        <f aca="false">A16&amp;"|"&amp;B16&amp;"|"&amp;C16&amp;"|"&amp;D16</f>
        <v>gov|prov|2|0</v>
      </c>
      <c r="F16" s="22" t="n">
        <v>90</v>
      </c>
    </row>
    <row r="17" customFormat="false" ht="15" hidden="false" customHeight="false" outlineLevel="0" collapsed="false">
      <c r="A17" s="6" t="s">
        <v>109</v>
      </c>
      <c r="B17" s="6" t="s">
        <v>110</v>
      </c>
      <c r="C17" s="6" t="n">
        <v>2</v>
      </c>
      <c r="D17" s="6" t="n">
        <v>1</v>
      </c>
      <c r="E17" s="6" t="str">
        <f aca="false">A17&amp;"|"&amp;B17&amp;"|"&amp;C17&amp;"|"&amp;D17</f>
        <v>gov|prov|2|1</v>
      </c>
      <c r="F17" s="22" t="n">
        <v>45</v>
      </c>
    </row>
    <row r="18" customFormat="false" ht="15" hidden="false" customHeight="false" outlineLevel="0" collapsed="false">
      <c r="A18" s="6" t="s">
        <v>109</v>
      </c>
      <c r="B18" s="6" t="s">
        <v>110</v>
      </c>
      <c r="C18" s="6" t="n">
        <v>3</v>
      </c>
      <c r="D18" s="6" t="n">
        <v>0</v>
      </c>
      <c r="E18" s="6" t="str">
        <f aca="false">A18&amp;"|"&amp;B18&amp;"|"&amp;C18&amp;"|"&amp;D18</f>
        <v>gov|prov|3|0</v>
      </c>
      <c r="F18" s="22" t="n">
        <v>80</v>
      </c>
    </row>
    <row r="19" customFormat="false" ht="15" hidden="false" customHeight="false" outlineLevel="0" collapsed="false">
      <c r="A19" s="6" t="s">
        <v>109</v>
      </c>
      <c r="B19" s="6" t="s">
        <v>110</v>
      </c>
      <c r="C19" s="6" t="n">
        <v>3</v>
      </c>
      <c r="D19" s="6" t="n">
        <v>1</v>
      </c>
      <c r="E19" s="6" t="str">
        <f aca="false">A19&amp;"|"&amp;B19&amp;"|"&amp;C19&amp;"|"&amp;D19</f>
        <v>gov|prov|3|1</v>
      </c>
      <c r="F19" s="22" t="n">
        <v>40</v>
      </c>
    </row>
    <row r="20" customFormat="false" ht="15" hidden="false" customHeight="false" outlineLevel="0" collapsed="false">
      <c r="A20" s="6" t="s">
        <v>109</v>
      </c>
      <c r="B20" s="6" t="s">
        <v>93</v>
      </c>
      <c r="C20" s="6" t="n">
        <v>1</v>
      </c>
      <c r="D20" s="6" t="n">
        <v>0</v>
      </c>
      <c r="E20" s="6" t="str">
        <f aca="false">A20&amp;"|"&amp;B20&amp;"|"&amp;C20&amp;"|"&amp;D20</f>
        <v>gov|city|1|0</v>
      </c>
      <c r="F20" s="22" t="n">
        <v>70</v>
      </c>
    </row>
    <row r="21" customFormat="false" ht="15" hidden="false" customHeight="false" outlineLevel="0" collapsed="false">
      <c r="A21" s="6" t="s">
        <v>109</v>
      </c>
      <c r="B21" s="6" t="s">
        <v>93</v>
      </c>
      <c r="C21" s="6" t="n">
        <v>1</v>
      </c>
      <c r="D21" s="6" t="n">
        <v>1</v>
      </c>
      <c r="E21" s="6" t="str">
        <f aca="false">A21&amp;"|"&amp;B21&amp;"|"&amp;C21&amp;"|"&amp;D21</f>
        <v>gov|city|1|1</v>
      </c>
      <c r="F21" s="22" t="n">
        <v>35</v>
      </c>
    </row>
    <row r="22" customFormat="false" ht="15" hidden="false" customHeight="false" outlineLevel="0" collapsed="false">
      <c r="A22" s="6" t="s">
        <v>109</v>
      </c>
      <c r="B22" s="6" t="s">
        <v>93</v>
      </c>
      <c r="C22" s="6" t="n">
        <v>2</v>
      </c>
      <c r="D22" s="6" t="n">
        <v>0</v>
      </c>
      <c r="E22" s="6" t="str">
        <f aca="false">A22&amp;"|"&amp;B22&amp;"|"&amp;C22&amp;"|"&amp;D22</f>
        <v>gov|city|2|0</v>
      </c>
      <c r="F22" s="22" t="n">
        <v>60</v>
      </c>
    </row>
    <row r="23" customFormat="false" ht="15" hidden="false" customHeight="false" outlineLevel="0" collapsed="false">
      <c r="A23" s="6" t="s">
        <v>109</v>
      </c>
      <c r="B23" s="6" t="s">
        <v>93</v>
      </c>
      <c r="C23" s="6" t="n">
        <v>2</v>
      </c>
      <c r="D23" s="6" t="n">
        <v>1</v>
      </c>
      <c r="E23" s="6" t="str">
        <f aca="false">A23&amp;"|"&amp;B23&amp;"|"&amp;C23&amp;"|"&amp;D23</f>
        <v>gov|city|2|1</v>
      </c>
      <c r="F23" s="22" t="n">
        <v>30</v>
      </c>
    </row>
    <row r="24" customFormat="false" ht="15" hidden="false" customHeight="false" outlineLevel="0" collapsed="false">
      <c r="A24" s="6" t="s">
        <v>109</v>
      </c>
      <c r="B24" s="6" t="s">
        <v>93</v>
      </c>
      <c r="C24" s="6" t="n">
        <v>3</v>
      </c>
      <c r="D24" s="6" t="n">
        <v>0</v>
      </c>
      <c r="E24" s="6" t="str">
        <f aca="false">A24&amp;"|"&amp;B24&amp;"|"&amp;C24&amp;"|"&amp;D24</f>
        <v>gov|city|3|0</v>
      </c>
      <c r="F24" s="22" t="n">
        <v>50</v>
      </c>
    </row>
    <row r="25" customFormat="false" ht="15" hidden="false" customHeight="false" outlineLevel="0" collapsed="false">
      <c r="A25" s="6" t="s">
        <v>109</v>
      </c>
      <c r="B25" s="6" t="s">
        <v>93</v>
      </c>
      <c r="C25" s="6" t="n">
        <v>3</v>
      </c>
      <c r="D25" s="6" t="n">
        <v>1</v>
      </c>
      <c r="E25" s="6" t="str">
        <f aca="false">A25&amp;"|"&amp;B25&amp;"|"&amp;C25&amp;"|"&amp;D25</f>
        <v>gov|city|3|1</v>
      </c>
      <c r="F25" s="22" t="n">
        <v>25</v>
      </c>
    </row>
    <row r="26" customFormat="false" ht="15" hidden="false" customHeight="false" outlineLevel="0" collapsed="false">
      <c r="A26" s="6" t="s">
        <v>111</v>
      </c>
      <c r="B26" s="6" t="s">
        <v>331</v>
      </c>
      <c r="C26" s="6" t="n">
        <v>1</v>
      </c>
      <c r="D26" s="6" t="n">
        <v>0</v>
      </c>
      <c r="E26" s="6" t="str">
        <f aca="false">A26&amp;"|"&amp;B26&amp;"|"&amp;C26&amp;"|"&amp;D26</f>
        <v>other|intl|1|0</v>
      </c>
      <c r="F26" s="22" t="n">
        <v>38</v>
      </c>
    </row>
    <row r="27" customFormat="false" ht="15" hidden="false" customHeight="false" outlineLevel="0" collapsed="false">
      <c r="A27" s="6" t="s">
        <v>111</v>
      </c>
      <c r="B27" s="6" t="s">
        <v>331</v>
      </c>
      <c r="C27" s="6" t="n">
        <v>1</v>
      </c>
      <c r="D27" s="6" t="n">
        <v>1</v>
      </c>
      <c r="E27" s="6" t="str">
        <f aca="false">A27&amp;"|"&amp;B27&amp;"|"&amp;C27&amp;"|"&amp;D27</f>
        <v>other|intl|1|1</v>
      </c>
      <c r="F27" s="22" t="n">
        <v>26</v>
      </c>
    </row>
    <row r="28" customFormat="false" ht="15" hidden="false" customHeight="false" outlineLevel="0" collapsed="false">
      <c r="A28" s="6" t="s">
        <v>111</v>
      </c>
      <c r="B28" s="6" t="s">
        <v>331</v>
      </c>
      <c r="C28" s="6" t="n">
        <v>2</v>
      </c>
      <c r="D28" s="6" t="n">
        <v>0</v>
      </c>
      <c r="E28" s="6" t="str">
        <f aca="false">A28&amp;"|"&amp;B28&amp;"|"&amp;C28&amp;"|"&amp;D28</f>
        <v>other|intl|2|0</v>
      </c>
      <c r="F28" s="22" t="n">
        <v>36</v>
      </c>
    </row>
    <row r="29" customFormat="false" ht="15" hidden="false" customHeight="false" outlineLevel="0" collapsed="false">
      <c r="A29" s="6" t="s">
        <v>111</v>
      </c>
      <c r="B29" s="6" t="s">
        <v>331</v>
      </c>
      <c r="C29" s="6" t="n">
        <v>2</v>
      </c>
      <c r="D29" s="6" t="n">
        <v>1</v>
      </c>
      <c r="E29" s="6" t="str">
        <f aca="false">A29&amp;"|"&amp;B29&amp;"|"&amp;C29&amp;"|"&amp;D29</f>
        <v>other|intl|2|1</v>
      </c>
      <c r="F29" s="22" t="n">
        <v>24</v>
      </c>
    </row>
    <row r="30" customFormat="false" ht="15" hidden="false" customHeight="false" outlineLevel="0" collapsed="false">
      <c r="A30" s="6" t="s">
        <v>111</v>
      </c>
      <c r="B30" s="6" t="s">
        <v>331</v>
      </c>
      <c r="C30" s="6" t="n">
        <v>3</v>
      </c>
      <c r="D30" s="6" t="n">
        <v>0</v>
      </c>
      <c r="E30" s="6" t="str">
        <f aca="false">A30&amp;"|"&amp;B30&amp;"|"&amp;C30&amp;"|"&amp;D30</f>
        <v>other|intl|3|0</v>
      </c>
      <c r="F30" s="22" t="n">
        <v>34</v>
      </c>
    </row>
    <row r="31" customFormat="false" ht="15" hidden="false" customHeight="false" outlineLevel="0" collapsed="false">
      <c r="A31" s="6" t="s">
        <v>111</v>
      </c>
      <c r="B31" s="6" t="s">
        <v>331</v>
      </c>
      <c r="C31" s="6" t="n">
        <v>3</v>
      </c>
      <c r="D31" s="6" t="n">
        <v>1</v>
      </c>
      <c r="E31" s="6" t="str">
        <f aca="false">A31&amp;"|"&amp;B31&amp;"|"&amp;C31&amp;"|"&amp;D31</f>
        <v>other|intl|3|1</v>
      </c>
      <c r="F31" s="22" t="n">
        <v>22</v>
      </c>
    </row>
    <row r="32" customFormat="false" ht="15" hidden="false" customHeight="false" outlineLevel="0" collapsed="false">
      <c r="A32" s="6" t="s">
        <v>111</v>
      </c>
      <c r="B32" s="6" t="s">
        <v>332</v>
      </c>
      <c r="C32" s="6" t="n">
        <v>1</v>
      </c>
      <c r="D32" s="6" t="n">
        <v>0</v>
      </c>
      <c r="E32" s="6" t="str">
        <f aca="false">A32&amp;"|"&amp;B32&amp;"|"&amp;C32&amp;"|"&amp;D32</f>
        <v>other|nat|1|0</v>
      </c>
      <c r="F32" s="22" t="n">
        <v>32</v>
      </c>
    </row>
    <row r="33" customFormat="false" ht="15" hidden="false" customHeight="false" outlineLevel="0" collapsed="false">
      <c r="A33" s="6" t="s">
        <v>111</v>
      </c>
      <c r="B33" s="6" t="s">
        <v>332</v>
      </c>
      <c r="C33" s="6" t="n">
        <v>1</v>
      </c>
      <c r="D33" s="6" t="n">
        <v>1</v>
      </c>
      <c r="E33" s="6" t="str">
        <f aca="false">A33&amp;"|"&amp;B33&amp;"|"&amp;C33&amp;"|"&amp;D33</f>
        <v>other|nat|1|1</v>
      </c>
      <c r="F33" s="22" t="n">
        <v>20</v>
      </c>
    </row>
    <row r="34" customFormat="false" ht="15" hidden="false" customHeight="false" outlineLevel="0" collapsed="false">
      <c r="A34" s="6" t="s">
        <v>111</v>
      </c>
      <c r="B34" s="6" t="s">
        <v>332</v>
      </c>
      <c r="C34" s="6" t="n">
        <v>2</v>
      </c>
      <c r="D34" s="6" t="n">
        <v>0</v>
      </c>
      <c r="E34" s="6" t="str">
        <f aca="false">A34&amp;"|"&amp;B34&amp;"|"&amp;C34&amp;"|"&amp;D34</f>
        <v>other|nat|2|0</v>
      </c>
      <c r="F34" s="22" t="n">
        <v>30</v>
      </c>
    </row>
    <row r="35" customFormat="false" ht="15" hidden="false" customHeight="false" outlineLevel="0" collapsed="false">
      <c r="A35" s="6" t="s">
        <v>111</v>
      </c>
      <c r="B35" s="6" t="s">
        <v>332</v>
      </c>
      <c r="C35" s="6" t="n">
        <v>2</v>
      </c>
      <c r="D35" s="6" t="n">
        <v>1</v>
      </c>
      <c r="E35" s="6" t="str">
        <f aca="false">A35&amp;"|"&amp;B35&amp;"|"&amp;C35&amp;"|"&amp;D35</f>
        <v>other|nat|2|1</v>
      </c>
      <c r="F35" s="22" t="n">
        <v>18</v>
      </c>
    </row>
    <row r="36" customFormat="false" ht="15" hidden="false" customHeight="false" outlineLevel="0" collapsed="false">
      <c r="A36" s="6" t="s">
        <v>111</v>
      </c>
      <c r="B36" s="6" t="s">
        <v>332</v>
      </c>
      <c r="C36" s="6" t="n">
        <v>3</v>
      </c>
      <c r="D36" s="6" t="n">
        <v>0</v>
      </c>
      <c r="E36" s="6" t="str">
        <f aca="false">A36&amp;"|"&amp;B36&amp;"|"&amp;C36&amp;"|"&amp;D36</f>
        <v>other|nat|3|0</v>
      </c>
      <c r="F36" s="22" t="n">
        <v>28</v>
      </c>
    </row>
    <row r="37" customFormat="false" ht="15" hidden="false" customHeight="false" outlineLevel="0" collapsed="false">
      <c r="A37" s="6" t="s">
        <v>111</v>
      </c>
      <c r="B37" s="6" t="s">
        <v>332</v>
      </c>
      <c r="C37" s="6" t="n">
        <v>3</v>
      </c>
      <c r="D37" s="6" t="n">
        <v>1</v>
      </c>
      <c r="E37" s="6" t="str">
        <f aca="false">A37&amp;"|"&amp;B37&amp;"|"&amp;C37&amp;"|"&amp;D37</f>
        <v>other|nat|3|1</v>
      </c>
      <c r="F37" s="22" t="n">
        <v>16</v>
      </c>
    </row>
    <row r="38" customFormat="false" ht="15" hidden="false" customHeight="false" outlineLevel="0" collapsed="false">
      <c r="A38" s="6" t="s">
        <v>111</v>
      </c>
      <c r="B38" s="6" t="s">
        <v>110</v>
      </c>
      <c r="C38" s="6" t="n">
        <v>1</v>
      </c>
      <c r="D38" s="6" t="n">
        <v>0</v>
      </c>
      <c r="E38" s="6" t="str">
        <f aca="false">A38&amp;"|"&amp;B38&amp;"|"&amp;C38&amp;"|"&amp;D38</f>
        <v>other|prov|1|0</v>
      </c>
      <c r="F38" s="22" t="n">
        <v>26</v>
      </c>
    </row>
    <row r="39" customFormat="false" ht="15" hidden="false" customHeight="false" outlineLevel="0" collapsed="false">
      <c r="A39" s="6" t="s">
        <v>111</v>
      </c>
      <c r="B39" s="6" t="s">
        <v>110</v>
      </c>
      <c r="C39" s="6" t="n">
        <v>1</v>
      </c>
      <c r="D39" s="6" t="n">
        <v>1</v>
      </c>
      <c r="E39" s="6" t="str">
        <f aca="false">A39&amp;"|"&amp;B39&amp;"|"&amp;C39&amp;"|"&amp;D39</f>
        <v>other|prov|1|1</v>
      </c>
      <c r="F39" s="22" t="n">
        <v>14</v>
      </c>
    </row>
    <row r="40" customFormat="false" ht="15" hidden="false" customHeight="false" outlineLevel="0" collapsed="false">
      <c r="A40" s="6" t="s">
        <v>111</v>
      </c>
      <c r="B40" s="6" t="s">
        <v>110</v>
      </c>
      <c r="C40" s="6" t="n">
        <v>2</v>
      </c>
      <c r="D40" s="6" t="n">
        <v>0</v>
      </c>
      <c r="E40" s="6" t="str">
        <f aca="false">A40&amp;"|"&amp;B40&amp;"|"&amp;C40&amp;"|"&amp;D40</f>
        <v>other|prov|2|0</v>
      </c>
      <c r="F40" s="22" t="n">
        <v>24</v>
      </c>
    </row>
    <row r="41" customFormat="false" ht="15" hidden="false" customHeight="false" outlineLevel="0" collapsed="false">
      <c r="A41" s="6" t="s">
        <v>111</v>
      </c>
      <c r="B41" s="6" t="s">
        <v>110</v>
      </c>
      <c r="C41" s="6" t="n">
        <v>2</v>
      </c>
      <c r="D41" s="6" t="n">
        <v>1</v>
      </c>
      <c r="E41" s="6" t="str">
        <f aca="false">A41&amp;"|"&amp;B41&amp;"|"&amp;C41&amp;"|"&amp;D41</f>
        <v>other|prov|2|1</v>
      </c>
      <c r="F41" s="22" t="n">
        <v>12</v>
      </c>
    </row>
    <row r="42" customFormat="false" ht="15" hidden="false" customHeight="false" outlineLevel="0" collapsed="false">
      <c r="A42" s="6" t="s">
        <v>111</v>
      </c>
      <c r="B42" s="6" t="s">
        <v>110</v>
      </c>
      <c r="C42" s="6" t="n">
        <v>3</v>
      </c>
      <c r="D42" s="6" t="n">
        <v>0</v>
      </c>
      <c r="E42" s="6" t="str">
        <f aca="false">A42&amp;"|"&amp;B42&amp;"|"&amp;C42&amp;"|"&amp;D42</f>
        <v>other|prov|3|0</v>
      </c>
      <c r="F42" s="22" t="n">
        <v>22</v>
      </c>
    </row>
    <row r="43" customFormat="false" ht="15" hidden="false" customHeight="false" outlineLevel="0" collapsed="false">
      <c r="A43" s="6" t="s">
        <v>111</v>
      </c>
      <c r="B43" s="6" t="s">
        <v>110</v>
      </c>
      <c r="C43" s="6" t="n">
        <v>3</v>
      </c>
      <c r="D43" s="6" t="n">
        <v>1</v>
      </c>
      <c r="E43" s="6" t="str">
        <f aca="false">A43&amp;"|"&amp;B43&amp;"|"&amp;C43&amp;"|"&amp;D43</f>
        <v>other|prov|3|1</v>
      </c>
      <c r="F43" s="22" t="n">
        <v>10</v>
      </c>
    </row>
    <row r="44" customFormat="false" ht="15" hidden="false" customHeight="false" outlineLevel="0" collapsed="false">
      <c r="A44" s="6" t="s">
        <v>111</v>
      </c>
      <c r="B44" s="6" t="s">
        <v>93</v>
      </c>
      <c r="C44" s="6" t="n">
        <v>1</v>
      </c>
      <c r="D44" s="6" t="n">
        <v>0</v>
      </c>
      <c r="E44" s="6" t="str">
        <f aca="false">A44&amp;"|"&amp;B44&amp;"|"&amp;C44&amp;"|"&amp;D44</f>
        <v>other|city|1|0</v>
      </c>
      <c r="F44" s="22" t="n">
        <v>20</v>
      </c>
    </row>
    <row r="45" customFormat="false" ht="15" hidden="false" customHeight="false" outlineLevel="0" collapsed="false">
      <c r="A45" s="6" t="s">
        <v>111</v>
      </c>
      <c r="B45" s="6" t="s">
        <v>93</v>
      </c>
      <c r="C45" s="6" t="n">
        <v>1</v>
      </c>
      <c r="D45" s="6" t="n">
        <v>1</v>
      </c>
      <c r="E45" s="6" t="str">
        <f aca="false">A45&amp;"|"&amp;B45&amp;"|"&amp;C45&amp;"|"&amp;D45</f>
        <v>other|city|1|1</v>
      </c>
      <c r="F45" s="22" t="n">
        <v>8</v>
      </c>
    </row>
    <row r="46" customFormat="false" ht="15" hidden="false" customHeight="false" outlineLevel="0" collapsed="false">
      <c r="A46" s="6" t="s">
        <v>111</v>
      </c>
      <c r="B46" s="6" t="s">
        <v>93</v>
      </c>
      <c r="C46" s="6" t="n">
        <v>2</v>
      </c>
      <c r="D46" s="6" t="n">
        <v>0</v>
      </c>
      <c r="E46" s="6" t="str">
        <f aca="false">A46&amp;"|"&amp;B46&amp;"|"&amp;C46&amp;"|"&amp;D46</f>
        <v>other|city|2|0</v>
      </c>
      <c r="F46" s="22" t="n">
        <v>18</v>
      </c>
    </row>
    <row r="47" customFormat="false" ht="15" hidden="false" customHeight="false" outlineLevel="0" collapsed="false">
      <c r="A47" s="6" t="s">
        <v>111</v>
      </c>
      <c r="B47" s="6" t="s">
        <v>93</v>
      </c>
      <c r="C47" s="6" t="n">
        <v>2</v>
      </c>
      <c r="D47" s="6" t="n">
        <v>1</v>
      </c>
      <c r="E47" s="6" t="str">
        <f aca="false">A47&amp;"|"&amp;B47&amp;"|"&amp;C47&amp;"|"&amp;D47</f>
        <v>other|city|2|1</v>
      </c>
      <c r="F47" s="22" t="n">
        <v>6</v>
      </c>
    </row>
    <row r="48" customFormat="false" ht="15" hidden="false" customHeight="false" outlineLevel="0" collapsed="false">
      <c r="A48" s="6" t="s">
        <v>111</v>
      </c>
      <c r="B48" s="6" t="s">
        <v>93</v>
      </c>
      <c r="C48" s="6" t="n">
        <v>3</v>
      </c>
      <c r="D48" s="6" t="n">
        <v>0</v>
      </c>
      <c r="E48" s="6" t="str">
        <f aca="false">A48&amp;"|"&amp;B48&amp;"|"&amp;C48&amp;"|"&amp;D48</f>
        <v>other|city|3|0</v>
      </c>
      <c r="F48" s="22" t="n">
        <v>16</v>
      </c>
    </row>
    <row r="49" customFormat="false" ht="15" hidden="false" customHeight="false" outlineLevel="0" collapsed="false">
      <c r="A49" s="6" t="s">
        <v>111</v>
      </c>
      <c r="B49" s="6" t="s">
        <v>93</v>
      </c>
      <c r="C49" s="6" t="n">
        <v>3</v>
      </c>
      <c r="D49" s="6" t="n">
        <v>1</v>
      </c>
      <c r="E49" s="6" t="str">
        <f aca="false">A49&amp;"|"&amp;B49&amp;"|"&amp;C49&amp;"|"&amp;D49</f>
        <v>other|city|3|1</v>
      </c>
      <c r="F49" s="22" t="n">
        <v>4</v>
      </c>
    </row>
    <row r="50" customFormat="false" ht="15" hidden="false" customHeight="false" outlineLevel="0" collapsed="false">
      <c r="A50" s="6" t="s">
        <v>333</v>
      </c>
      <c r="B50" s="6" t="s">
        <v>331</v>
      </c>
      <c r="C50" s="6" t="n">
        <v>1</v>
      </c>
      <c r="D50" s="6" t="n">
        <v>0</v>
      </c>
      <c r="E50" s="6" t="str">
        <f aca="false">A50&amp;"|"&amp;B50&amp;"|"&amp;C50&amp;"|"&amp;D50</f>
        <v>eduoffice|intl|1|0</v>
      </c>
      <c r="F50" s="22" t="n">
        <v>25</v>
      </c>
    </row>
    <row r="51" customFormat="false" ht="15" hidden="false" customHeight="false" outlineLevel="0" collapsed="false">
      <c r="A51" s="6" t="s">
        <v>333</v>
      </c>
      <c r="B51" s="6" t="s">
        <v>331</v>
      </c>
      <c r="C51" s="6" t="n">
        <v>1</v>
      </c>
      <c r="D51" s="6" t="n">
        <v>1</v>
      </c>
      <c r="E51" s="6" t="str">
        <f aca="false">A51&amp;"|"&amp;B51&amp;"|"&amp;C51&amp;"|"&amp;D51</f>
        <v>eduoffice|intl|1|1</v>
      </c>
      <c r="F51" s="22" t="n">
        <v>12</v>
      </c>
    </row>
    <row r="52" customFormat="false" ht="15" hidden="false" customHeight="false" outlineLevel="0" collapsed="false">
      <c r="A52" s="6" t="s">
        <v>333</v>
      </c>
      <c r="B52" s="6" t="s">
        <v>331</v>
      </c>
      <c r="C52" s="6" t="n">
        <v>2</v>
      </c>
      <c r="D52" s="6" t="n">
        <v>0</v>
      </c>
      <c r="E52" s="6" t="str">
        <f aca="false">A52&amp;"|"&amp;B52&amp;"|"&amp;C52&amp;"|"&amp;D52</f>
        <v>eduoffice|intl|2|0</v>
      </c>
      <c r="F52" s="22" t="n">
        <v>21</v>
      </c>
    </row>
    <row r="53" customFormat="false" ht="15" hidden="false" customHeight="false" outlineLevel="0" collapsed="false">
      <c r="A53" s="6" t="s">
        <v>333</v>
      </c>
      <c r="B53" s="6" t="s">
        <v>331</v>
      </c>
      <c r="C53" s="6" t="n">
        <v>2</v>
      </c>
      <c r="D53" s="6" t="n">
        <v>1</v>
      </c>
      <c r="E53" s="6" t="str">
        <f aca="false">A53&amp;"|"&amp;B53&amp;"|"&amp;C53&amp;"|"&amp;D53</f>
        <v>eduoffice|intl|2|1</v>
      </c>
      <c r="F53" s="22" t="n">
        <v>10</v>
      </c>
    </row>
    <row r="54" customFormat="false" ht="15" hidden="false" customHeight="false" outlineLevel="0" collapsed="false">
      <c r="A54" s="6" t="s">
        <v>333</v>
      </c>
      <c r="B54" s="6" t="s">
        <v>331</v>
      </c>
      <c r="C54" s="6" t="n">
        <v>3</v>
      </c>
      <c r="D54" s="6" t="n">
        <v>0</v>
      </c>
      <c r="E54" s="6" t="str">
        <f aca="false">A54&amp;"|"&amp;B54&amp;"|"&amp;C54&amp;"|"&amp;D54</f>
        <v>eduoffice|intl|3|0</v>
      </c>
      <c r="F54" s="22" t="n">
        <v>18</v>
      </c>
    </row>
    <row r="55" customFormat="false" ht="15" hidden="false" customHeight="false" outlineLevel="0" collapsed="false">
      <c r="A55" s="6" t="s">
        <v>333</v>
      </c>
      <c r="B55" s="6" t="s">
        <v>331</v>
      </c>
      <c r="C55" s="6" t="n">
        <v>3</v>
      </c>
      <c r="D55" s="6" t="n">
        <v>1</v>
      </c>
      <c r="E55" s="6" t="str">
        <f aca="false">A55&amp;"|"&amp;B55&amp;"|"&amp;C55&amp;"|"&amp;D55</f>
        <v>eduoffice|intl|3|1</v>
      </c>
      <c r="F55" s="22" t="n">
        <v>8</v>
      </c>
    </row>
    <row r="56" customFormat="false" ht="15" hidden="false" customHeight="false" outlineLevel="0" collapsed="false">
      <c r="A56" s="6" t="s">
        <v>333</v>
      </c>
      <c r="B56" s="6" t="s">
        <v>332</v>
      </c>
      <c r="C56" s="6" t="n">
        <v>1</v>
      </c>
      <c r="D56" s="6" t="n">
        <v>0</v>
      </c>
      <c r="E56" s="6" t="str">
        <f aca="false">A56&amp;"|"&amp;B56&amp;"|"&amp;C56&amp;"|"&amp;D56</f>
        <v>eduoffice|nat|1|0</v>
      </c>
      <c r="F56" s="22" t="n">
        <v>25</v>
      </c>
    </row>
    <row r="57" customFormat="false" ht="15" hidden="false" customHeight="false" outlineLevel="0" collapsed="false">
      <c r="A57" s="6" t="s">
        <v>333</v>
      </c>
      <c r="B57" s="6" t="s">
        <v>332</v>
      </c>
      <c r="C57" s="6" t="n">
        <v>1</v>
      </c>
      <c r="D57" s="6" t="n">
        <v>1</v>
      </c>
      <c r="E57" s="6" t="str">
        <f aca="false">A57&amp;"|"&amp;B57&amp;"|"&amp;C57&amp;"|"&amp;D57</f>
        <v>eduoffice|nat|1|1</v>
      </c>
      <c r="F57" s="22" t="n">
        <v>12</v>
      </c>
    </row>
    <row r="58" customFormat="false" ht="15" hidden="false" customHeight="false" outlineLevel="0" collapsed="false">
      <c r="A58" s="6" t="s">
        <v>333</v>
      </c>
      <c r="B58" s="6" t="s">
        <v>332</v>
      </c>
      <c r="C58" s="6" t="n">
        <v>2</v>
      </c>
      <c r="D58" s="6" t="n">
        <v>0</v>
      </c>
      <c r="E58" s="6" t="str">
        <f aca="false">A58&amp;"|"&amp;B58&amp;"|"&amp;C58&amp;"|"&amp;D58</f>
        <v>eduoffice|nat|2|0</v>
      </c>
      <c r="F58" s="22" t="n">
        <v>21</v>
      </c>
    </row>
    <row r="59" customFormat="false" ht="15" hidden="false" customHeight="false" outlineLevel="0" collapsed="false">
      <c r="A59" s="6" t="s">
        <v>333</v>
      </c>
      <c r="B59" s="6" t="s">
        <v>332</v>
      </c>
      <c r="C59" s="6" t="n">
        <v>2</v>
      </c>
      <c r="D59" s="6" t="n">
        <v>1</v>
      </c>
      <c r="E59" s="6" t="str">
        <f aca="false">A59&amp;"|"&amp;B59&amp;"|"&amp;C59&amp;"|"&amp;D59</f>
        <v>eduoffice|nat|2|1</v>
      </c>
      <c r="F59" s="22" t="n">
        <v>10</v>
      </c>
    </row>
    <row r="60" customFormat="false" ht="15" hidden="false" customHeight="false" outlineLevel="0" collapsed="false">
      <c r="A60" s="6" t="s">
        <v>333</v>
      </c>
      <c r="B60" s="6" t="s">
        <v>332</v>
      </c>
      <c r="C60" s="6" t="n">
        <v>3</v>
      </c>
      <c r="D60" s="6" t="n">
        <v>0</v>
      </c>
      <c r="E60" s="6" t="str">
        <f aca="false">A60&amp;"|"&amp;B60&amp;"|"&amp;C60&amp;"|"&amp;D60</f>
        <v>eduoffice|nat|3|0</v>
      </c>
      <c r="F60" s="22" t="n">
        <v>18</v>
      </c>
    </row>
    <row r="61" customFormat="false" ht="15" hidden="false" customHeight="false" outlineLevel="0" collapsed="false">
      <c r="A61" s="6" t="s">
        <v>333</v>
      </c>
      <c r="B61" s="6" t="s">
        <v>332</v>
      </c>
      <c r="C61" s="6" t="n">
        <v>3</v>
      </c>
      <c r="D61" s="6" t="n">
        <v>1</v>
      </c>
      <c r="E61" s="6" t="str">
        <f aca="false">A61&amp;"|"&amp;B61&amp;"|"&amp;C61&amp;"|"&amp;D61</f>
        <v>eduoffice|nat|3|1</v>
      </c>
      <c r="F61" s="22" t="n">
        <v>8</v>
      </c>
    </row>
    <row r="62" customFormat="false" ht="15" hidden="false" customHeight="false" outlineLevel="0" collapsed="false">
      <c r="A62" s="6" t="s">
        <v>333</v>
      </c>
      <c r="B62" s="6" t="s">
        <v>110</v>
      </c>
      <c r="C62" s="6" t="n">
        <v>1</v>
      </c>
      <c r="D62" s="6" t="n">
        <v>0</v>
      </c>
      <c r="E62" s="6" t="str">
        <f aca="false">A62&amp;"|"&amp;B62&amp;"|"&amp;C62&amp;"|"&amp;D62</f>
        <v>eduoffice|prov|1|0</v>
      </c>
      <c r="F62" s="22" t="n">
        <v>25</v>
      </c>
    </row>
    <row r="63" customFormat="false" ht="15" hidden="false" customHeight="false" outlineLevel="0" collapsed="false">
      <c r="A63" s="6" t="s">
        <v>333</v>
      </c>
      <c r="B63" s="6" t="s">
        <v>110</v>
      </c>
      <c r="C63" s="6" t="n">
        <v>1</v>
      </c>
      <c r="D63" s="6" t="n">
        <v>1</v>
      </c>
      <c r="E63" s="6" t="str">
        <f aca="false">A63&amp;"|"&amp;B63&amp;"|"&amp;C63&amp;"|"&amp;D63</f>
        <v>eduoffice|prov|1|1</v>
      </c>
      <c r="F63" s="22" t="n">
        <v>12</v>
      </c>
    </row>
    <row r="64" customFormat="false" ht="15" hidden="false" customHeight="false" outlineLevel="0" collapsed="false">
      <c r="A64" s="6" t="s">
        <v>333</v>
      </c>
      <c r="B64" s="6" t="s">
        <v>110</v>
      </c>
      <c r="C64" s="6" t="n">
        <v>2</v>
      </c>
      <c r="D64" s="6" t="n">
        <v>0</v>
      </c>
      <c r="E64" s="6" t="str">
        <f aca="false">A64&amp;"|"&amp;B64&amp;"|"&amp;C64&amp;"|"&amp;D64</f>
        <v>eduoffice|prov|2|0</v>
      </c>
      <c r="F64" s="22" t="n">
        <v>21</v>
      </c>
    </row>
    <row r="65" customFormat="false" ht="15" hidden="false" customHeight="false" outlineLevel="0" collapsed="false">
      <c r="A65" s="6" t="s">
        <v>333</v>
      </c>
      <c r="B65" s="6" t="s">
        <v>110</v>
      </c>
      <c r="C65" s="6" t="n">
        <v>2</v>
      </c>
      <c r="D65" s="6" t="n">
        <v>1</v>
      </c>
      <c r="E65" s="6" t="str">
        <f aca="false">A65&amp;"|"&amp;B65&amp;"|"&amp;C65&amp;"|"&amp;D65</f>
        <v>eduoffice|prov|2|1</v>
      </c>
      <c r="F65" s="22" t="n">
        <v>10</v>
      </c>
    </row>
    <row r="66" customFormat="false" ht="15" hidden="false" customHeight="false" outlineLevel="0" collapsed="false">
      <c r="A66" s="6" t="s">
        <v>333</v>
      </c>
      <c r="B66" s="6" t="s">
        <v>110</v>
      </c>
      <c r="C66" s="6" t="n">
        <v>3</v>
      </c>
      <c r="D66" s="6" t="n">
        <v>0</v>
      </c>
      <c r="E66" s="6" t="str">
        <f aca="false">A66&amp;"|"&amp;B66&amp;"|"&amp;C66&amp;"|"&amp;D66</f>
        <v>eduoffice|prov|3|0</v>
      </c>
      <c r="F66" s="22" t="n">
        <v>18</v>
      </c>
    </row>
    <row r="67" customFormat="false" ht="15" hidden="false" customHeight="false" outlineLevel="0" collapsed="false">
      <c r="A67" s="6" t="s">
        <v>333</v>
      </c>
      <c r="B67" s="6" t="s">
        <v>110</v>
      </c>
      <c r="C67" s="6" t="n">
        <v>3</v>
      </c>
      <c r="D67" s="6" t="n">
        <v>1</v>
      </c>
      <c r="E67" s="6" t="str">
        <f aca="false">A67&amp;"|"&amp;B67&amp;"|"&amp;C67&amp;"|"&amp;D67</f>
        <v>eduoffice|prov|3|1</v>
      </c>
      <c r="F67" s="22" t="n">
        <v>8</v>
      </c>
    </row>
    <row r="68" customFormat="false" ht="15" hidden="false" customHeight="false" outlineLevel="0" collapsed="false">
      <c r="A68" s="6" t="s">
        <v>333</v>
      </c>
      <c r="B68" s="6" t="s">
        <v>93</v>
      </c>
      <c r="C68" s="6" t="n">
        <v>1</v>
      </c>
      <c r="D68" s="6" t="n">
        <v>0</v>
      </c>
      <c r="E68" s="6" t="str">
        <f aca="false">A68&amp;"|"&amp;B68&amp;"|"&amp;C68&amp;"|"&amp;D68</f>
        <v>eduoffice|city|1|0</v>
      </c>
      <c r="F68" s="22" t="n">
        <v>25</v>
      </c>
    </row>
    <row r="69" customFormat="false" ht="15" hidden="false" customHeight="false" outlineLevel="0" collapsed="false">
      <c r="A69" s="6" t="s">
        <v>333</v>
      </c>
      <c r="B69" s="6" t="s">
        <v>93</v>
      </c>
      <c r="C69" s="6" t="n">
        <v>1</v>
      </c>
      <c r="D69" s="6" t="n">
        <v>1</v>
      </c>
      <c r="E69" s="6" t="str">
        <f aca="false">A69&amp;"|"&amp;B69&amp;"|"&amp;C69&amp;"|"&amp;D69</f>
        <v>eduoffice|city|1|1</v>
      </c>
      <c r="F69" s="22" t="n">
        <v>12</v>
      </c>
    </row>
    <row r="70" customFormat="false" ht="15" hidden="false" customHeight="false" outlineLevel="0" collapsed="false">
      <c r="A70" s="6" t="s">
        <v>333</v>
      </c>
      <c r="B70" s="6" t="s">
        <v>93</v>
      </c>
      <c r="C70" s="6" t="n">
        <v>2</v>
      </c>
      <c r="D70" s="6" t="n">
        <v>0</v>
      </c>
      <c r="E70" s="6" t="str">
        <f aca="false">A70&amp;"|"&amp;B70&amp;"|"&amp;C70&amp;"|"&amp;D70</f>
        <v>eduoffice|city|2|0</v>
      </c>
      <c r="F70" s="22" t="n">
        <v>21</v>
      </c>
    </row>
    <row r="71" customFormat="false" ht="15" hidden="false" customHeight="false" outlineLevel="0" collapsed="false">
      <c r="A71" s="6" t="s">
        <v>333</v>
      </c>
      <c r="B71" s="6" t="s">
        <v>93</v>
      </c>
      <c r="C71" s="6" t="n">
        <v>2</v>
      </c>
      <c r="D71" s="6" t="n">
        <v>1</v>
      </c>
      <c r="E71" s="6" t="str">
        <f aca="false">A71&amp;"|"&amp;B71&amp;"|"&amp;C71&amp;"|"&amp;D71</f>
        <v>eduoffice|city|2|1</v>
      </c>
      <c r="F71" s="22" t="n">
        <v>10</v>
      </c>
    </row>
    <row r="72" customFormat="false" ht="15" hidden="false" customHeight="false" outlineLevel="0" collapsed="false">
      <c r="A72" s="6" t="s">
        <v>333</v>
      </c>
      <c r="B72" s="6" t="s">
        <v>93</v>
      </c>
      <c r="C72" s="6" t="n">
        <v>3</v>
      </c>
      <c r="D72" s="6" t="n">
        <v>0</v>
      </c>
      <c r="E72" s="6" t="str">
        <f aca="false">A72&amp;"|"&amp;B72&amp;"|"&amp;C72&amp;"|"&amp;D72</f>
        <v>eduoffice|city|3|0</v>
      </c>
      <c r="F72" s="22" t="n">
        <v>18</v>
      </c>
    </row>
    <row r="73" customFormat="false" ht="15" hidden="false" customHeight="false" outlineLevel="0" collapsed="false">
      <c r="A73" s="6" t="s">
        <v>333</v>
      </c>
      <c r="B73" s="6" t="s">
        <v>93</v>
      </c>
      <c r="C73" s="6" t="n">
        <v>3</v>
      </c>
      <c r="D73" s="6" t="n">
        <v>1</v>
      </c>
      <c r="E73" s="6" t="str">
        <f aca="false">A73&amp;"|"&amp;B73&amp;"|"&amp;C73&amp;"|"&amp;D73</f>
        <v>eduoffice|city|3|1</v>
      </c>
      <c r="F73" s="22" t="n">
        <v>8</v>
      </c>
    </row>
    <row r="74" customFormat="false" ht="15" hidden="false" customHeight="false" outlineLevel="0" collapsed="false">
      <c r="A74" s="6" t="s">
        <v>334</v>
      </c>
      <c r="B74" s="6" t="s">
        <v>331</v>
      </c>
      <c r="C74" s="6" t="n">
        <v>1</v>
      </c>
      <c r="D74" s="6" t="n">
        <v>0</v>
      </c>
      <c r="E74" s="6" t="str">
        <f aca="false">A74&amp;"|"&amp;B74&amp;"|"&amp;C74&amp;"|"&amp;D74</f>
        <v>mass|intl|1|0</v>
      </c>
      <c r="F74" s="22" t="n">
        <v>15</v>
      </c>
    </row>
    <row r="75" customFormat="false" ht="15" hidden="false" customHeight="false" outlineLevel="0" collapsed="false">
      <c r="A75" s="6" t="s">
        <v>334</v>
      </c>
      <c r="B75" s="6" t="s">
        <v>331</v>
      </c>
      <c r="C75" s="6" t="n">
        <v>1</v>
      </c>
      <c r="D75" s="6" t="n">
        <v>1</v>
      </c>
      <c r="E75" s="6" t="str">
        <f aca="false">A75&amp;"|"&amp;B75&amp;"|"&amp;C75&amp;"|"&amp;D75</f>
        <v>mass|intl|1|1</v>
      </c>
      <c r="F75" s="22" t="n">
        <v>12</v>
      </c>
    </row>
    <row r="76" customFormat="false" ht="15" hidden="false" customHeight="false" outlineLevel="0" collapsed="false">
      <c r="A76" s="6" t="s">
        <v>334</v>
      </c>
      <c r="B76" s="6" t="s">
        <v>331</v>
      </c>
      <c r="C76" s="6" t="n">
        <v>2</v>
      </c>
      <c r="D76" s="6" t="n">
        <v>0</v>
      </c>
      <c r="E76" s="6" t="str">
        <f aca="false">A76&amp;"|"&amp;B76&amp;"|"&amp;C76&amp;"|"&amp;D76</f>
        <v>mass|intl|2|0</v>
      </c>
      <c r="F76" s="22" t="n">
        <v>14</v>
      </c>
    </row>
    <row r="77" customFormat="false" ht="15" hidden="false" customHeight="false" outlineLevel="0" collapsed="false">
      <c r="A77" s="6" t="s">
        <v>334</v>
      </c>
      <c r="B77" s="6" t="s">
        <v>331</v>
      </c>
      <c r="C77" s="6" t="n">
        <v>2</v>
      </c>
      <c r="D77" s="6" t="n">
        <v>1</v>
      </c>
      <c r="E77" s="6" t="str">
        <f aca="false">A77&amp;"|"&amp;B77&amp;"|"&amp;C77&amp;"|"&amp;D77</f>
        <v>mass|intl|2|1</v>
      </c>
      <c r="F77" s="22" t="n">
        <v>11</v>
      </c>
    </row>
    <row r="78" customFormat="false" ht="15" hidden="false" customHeight="false" outlineLevel="0" collapsed="false">
      <c r="A78" s="6" t="s">
        <v>334</v>
      </c>
      <c r="B78" s="6" t="s">
        <v>331</v>
      </c>
      <c r="C78" s="6" t="n">
        <v>3</v>
      </c>
      <c r="D78" s="6" t="n">
        <v>0</v>
      </c>
      <c r="E78" s="6" t="str">
        <f aca="false">A78&amp;"|"&amp;B78&amp;"|"&amp;C78&amp;"|"&amp;D78</f>
        <v>mass|intl|3|0</v>
      </c>
      <c r="F78" s="22" t="n">
        <v>13</v>
      </c>
    </row>
    <row r="79" customFormat="false" ht="15" hidden="false" customHeight="false" outlineLevel="0" collapsed="false">
      <c r="A79" s="6" t="s">
        <v>334</v>
      </c>
      <c r="B79" s="6" t="s">
        <v>331</v>
      </c>
      <c r="C79" s="6" t="n">
        <v>3</v>
      </c>
      <c r="D79" s="6" t="n">
        <v>1</v>
      </c>
      <c r="E79" s="6" t="str">
        <f aca="false">A79&amp;"|"&amp;B79&amp;"|"&amp;C79&amp;"|"&amp;D79</f>
        <v>mass|intl|3|1</v>
      </c>
      <c r="F79" s="22" t="n">
        <v>10</v>
      </c>
    </row>
    <row r="80" customFormat="false" ht="15" hidden="false" customHeight="false" outlineLevel="0" collapsed="false">
      <c r="A80" s="6" t="s">
        <v>334</v>
      </c>
      <c r="B80" s="6" t="s">
        <v>332</v>
      </c>
      <c r="C80" s="6" t="n">
        <v>1</v>
      </c>
      <c r="D80" s="6" t="n">
        <v>0</v>
      </c>
      <c r="E80" s="6" t="str">
        <f aca="false">A80&amp;"|"&amp;B80&amp;"|"&amp;C80&amp;"|"&amp;D80</f>
        <v>mass|nat|1|0</v>
      </c>
      <c r="F80" s="22" t="n">
        <v>12</v>
      </c>
    </row>
    <row r="81" customFormat="false" ht="15" hidden="false" customHeight="false" outlineLevel="0" collapsed="false">
      <c r="A81" s="6" t="s">
        <v>334</v>
      </c>
      <c r="B81" s="6" t="s">
        <v>332</v>
      </c>
      <c r="C81" s="6" t="n">
        <v>1</v>
      </c>
      <c r="D81" s="6" t="n">
        <v>1</v>
      </c>
      <c r="E81" s="6" t="str">
        <f aca="false">A81&amp;"|"&amp;B81&amp;"|"&amp;C81&amp;"|"&amp;D81</f>
        <v>mass|nat|1|1</v>
      </c>
      <c r="F81" s="22" t="n">
        <v>9</v>
      </c>
    </row>
    <row r="82" customFormat="false" ht="15" hidden="false" customHeight="false" outlineLevel="0" collapsed="false">
      <c r="A82" s="6" t="s">
        <v>334</v>
      </c>
      <c r="B82" s="6" t="s">
        <v>332</v>
      </c>
      <c r="C82" s="6" t="n">
        <v>2</v>
      </c>
      <c r="D82" s="6" t="n">
        <v>0</v>
      </c>
      <c r="E82" s="6" t="str">
        <f aca="false">A82&amp;"|"&amp;B82&amp;"|"&amp;C82&amp;"|"&amp;D82</f>
        <v>mass|nat|2|0</v>
      </c>
      <c r="F82" s="22" t="n">
        <v>11</v>
      </c>
    </row>
    <row r="83" customFormat="false" ht="15" hidden="false" customHeight="false" outlineLevel="0" collapsed="false">
      <c r="A83" s="6" t="s">
        <v>334</v>
      </c>
      <c r="B83" s="6" t="s">
        <v>332</v>
      </c>
      <c r="C83" s="6" t="n">
        <v>2</v>
      </c>
      <c r="D83" s="6" t="n">
        <v>1</v>
      </c>
      <c r="E83" s="6" t="str">
        <f aca="false">A83&amp;"|"&amp;B83&amp;"|"&amp;C83&amp;"|"&amp;D83</f>
        <v>mass|nat|2|1</v>
      </c>
      <c r="F83" s="22" t="n">
        <v>8</v>
      </c>
    </row>
    <row r="84" customFormat="false" ht="15" hidden="false" customHeight="false" outlineLevel="0" collapsed="false">
      <c r="A84" s="6" t="s">
        <v>334</v>
      </c>
      <c r="B84" s="6" t="s">
        <v>332</v>
      </c>
      <c r="C84" s="6" t="n">
        <v>3</v>
      </c>
      <c r="D84" s="6" t="n">
        <v>0</v>
      </c>
      <c r="E84" s="6" t="str">
        <f aca="false">A84&amp;"|"&amp;B84&amp;"|"&amp;C84&amp;"|"&amp;D84</f>
        <v>mass|nat|3|0</v>
      </c>
      <c r="F84" s="22" t="n">
        <v>10</v>
      </c>
    </row>
    <row r="85" customFormat="false" ht="15" hidden="false" customHeight="false" outlineLevel="0" collapsed="false">
      <c r="A85" s="6" t="s">
        <v>334</v>
      </c>
      <c r="B85" s="6" t="s">
        <v>332</v>
      </c>
      <c r="C85" s="6" t="n">
        <v>3</v>
      </c>
      <c r="D85" s="6" t="n">
        <v>1</v>
      </c>
      <c r="E85" s="6" t="str">
        <f aca="false">A85&amp;"|"&amp;B85&amp;"|"&amp;C85&amp;"|"&amp;D85</f>
        <v>mass|nat|3|1</v>
      </c>
      <c r="F85" s="22" t="n">
        <v>7</v>
      </c>
    </row>
    <row r="86" customFormat="false" ht="15" hidden="false" customHeight="false" outlineLevel="0" collapsed="false">
      <c r="A86" s="6" t="s">
        <v>334</v>
      </c>
      <c r="B86" s="6" t="s">
        <v>110</v>
      </c>
      <c r="C86" s="6" t="n">
        <v>1</v>
      </c>
      <c r="D86" s="6" t="n">
        <v>0</v>
      </c>
      <c r="E86" s="6" t="str">
        <f aca="false">A86&amp;"|"&amp;B86&amp;"|"&amp;C86&amp;"|"&amp;D86</f>
        <v>mass|prov|1|0</v>
      </c>
      <c r="F86" s="22" t="n">
        <v>9</v>
      </c>
    </row>
    <row r="87" customFormat="false" ht="15" hidden="false" customHeight="false" outlineLevel="0" collapsed="false">
      <c r="A87" s="6" t="s">
        <v>334</v>
      </c>
      <c r="B87" s="6" t="s">
        <v>110</v>
      </c>
      <c r="C87" s="6" t="n">
        <v>1</v>
      </c>
      <c r="D87" s="6" t="n">
        <v>1</v>
      </c>
      <c r="E87" s="6" t="str">
        <f aca="false">A87&amp;"|"&amp;B87&amp;"|"&amp;C87&amp;"|"&amp;D87</f>
        <v>mass|prov|1|1</v>
      </c>
      <c r="F87" s="22" t="n">
        <v>6</v>
      </c>
    </row>
    <row r="88" customFormat="false" ht="15" hidden="false" customHeight="false" outlineLevel="0" collapsed="false">
      <c r="A88" s="6" t="s">
        <v>334</v>
      </c>
      <c r="B88" s="6" t="s">
        <v>110</v>
      </c>
      <c r="C88" s="6" t="n">
        <v>2</v>
      </c>
      <c r="D88" s="6" t="n">
        <v>0</v>
      </c>
      <c r="E88" s="6" t="str">
        <f aca="false">A88&amp;"|"&amp;B88&amp;"|"&amp;C88&amp;"|"&amp;D88</f>
        <v>mass|prov|2|0</v>
      </c>
      <c r="F88" s="22" t="n">
        <v>8</v>
      </c>
    </row>
    <row r="89" customFormat="false" ht="15" hidden="false" customHeight="false" outlineLevel="0" collapsed="false">
      <c r="A89" s="6" t="s">
        <v>334</v>
      </c>
      <c r="B89" s="6" t="s">
        <v>110</v>
      </c>
      <c r="C89" s="6" t="n">
        <v>2</v>
      </c>
      <c r="D89" s="6" t="n">
        <v>1</v>
      </c>
      <c r="E89" s="6" t="str">
        <f aca="false">A89&amp;"|"&amp;B89&amp;"|"&amp;C89&amp;"|"&amp;D89</f>
        <v>mass|prov|2|1</v>
      </c>
      <c r="F89" s="22" t="n">
        <v>5</v>
      </c>
    </row>
    <row r="90" customFormat="false" ht="15" hidden="false" customHeight="false" outlineLevel="0" collapsed="false">
      <c r="A90" s="6" t="s">
        <v>334</v>
      </c>
      <c r="B90" s="6" t="s">
        <v>110</v>
      </c>
      <c r="C90" s="6" t="n">
        <v>3</v>
      </c>
      <c r="D90" s="6" t="n">
        <v>0</v>
      </c>
      <c r="E90" s="6" t="str">
        <f aca="false">A90&amp;"|"&amp;B90&amp;"|"&amp;C90&amp;"|"&amp;D90</f>
        <v>mass|prov|3|0</v>
      </c>
      <c r="F90" s="22" t="n">
        <v>7</v>
      </c>
    </row>
    <row r="91" customFormat="false" ht="15" hidden="false" customHeight="false" outlineLevel="0" collapsed="false">
      <c r="A91" s="6" t="s">
        <v>334</v>
      </c>
      <c r="B91" s="6" t="s">
        <v>110</v>
      </c>
      <c r="C91" s="6" t="n">
        <v>3</v>
      </c>
      <c r="D91" s="6" t="n">
        <v>1</v>
      </c>
      <c r="E91" s="6" t="str">
        <f aca="false">A91&amp;"|"&amp;B91&amp;"|"&amp;C91&amp;"|"&amp;D91</f>
        <v>mass|prov|3|1</v>
      </c>
      <c r="F91" s="22" t="n">
        <v>4</v>
      </c>
    </row>
    <row r="92" customFormat="false" ht="15" hidden="false" customHeight="false" outlineLevel="0" collapsed="false">
      <c r="A92" s="6" t="s">
        <v>334</v>
      </c>
      <c r="B92" s="6" t="s">
        <v>93</v>
      </c>
      <c r="C92" s="6" t="n">
        <v>1</v>
      </c>
      <c r="D92" s="6" t="n">
        <v>0</v>
      </c>
      <c r="E92" s="6" t="str">
        <f aca="false">A92&amp;"|"&amp;B92&amp;"|"&amp;C92&amp;"|"&amp;D92</f>
        <v>mass|city|1|0</v>
      </c>
      <c r="F92" s="22" t="n">
        <v>6</v>
      </c>
    </row>
    <row r="93" customFormat="false" ht="15" hidden="false" customHeight="false" outlineLevel="0" collapsed="false">
      <c r="A93" s="6" t="s">
        <v>334</v>
      </c>
      <c r="B93" s="6" t="s">
        <v>93</v>
      </c>
      <c r="C93" s="6" t="n">
        <v>1</v>
      </c>
      <c r="D93" s="6" t="n">
        <v>1</v>
      </c>
      <c r="E93" s="6" t="str">
        <f aca="false">A93&amp;"|"&amp;B93&amp;"|"&amp;C93&amp;"|"&amp;D93</f>
        <v>mass|city|1|1</v>
      </c>
      <c r="F93" s="22" t="n">
        <v>3</v>
      </c>
    </row>
    <row r="94" customFormat="false" ht="15" hidden="false" customHeight="false" outlineLevel="0" collapsed="false">
      <c r="A94" s="6" t="s">
        <v>334</v>
      </c>
      <c r="B94" s="6" t="s">
        <v>93</v>
      </c>
      <c r="C94" s="6" t="n">
        <v>2</v>
      </c>
      <c r="D94" s="6" t="n">
        <v>0</v>
      </c>
      <c r="E94" s="6" t="str">
        <f aca="false">A94&amp;"|"&amp;B94&amp;"|"&amp;C94&amp;"|"&amp;D94</f>
        <v>mass|city|2|0</v>
      </c>
      <c r="F94" s="22" t="n">
        <v>5</v>
      </c>
    </row>
    <row r="95" customFormat="false" ht="15" hidden="false" customHeight="false" outlineLevel="0" collapsed="false">
      <c r="A95" s="6" t="s">
        <v>334</v>
      </c>
      <c r="B95" s="6" t="s">
        <v>93</v>
      </c>
      <c r="C95" s="6" t="n">
        <v>2</v>
      </c>
      <c r="D95" s="6" t="n">
        <v>1</v>
      </c>
      <c r="E95" s="6" t="str">
        <f aca="false">A95&amp;"|"&amp;B95&amp;"|"&amp;C95&amp;"|"&amp;D95</f>
        <v>mass|city|2|1</v>
      </c>
      <c r="F95" s="22" t="n">
        <v>2</v>
      </c>
    </row>
    <row r="96" customFormat="false" ht="15" hidden="false" customHeight="false" outlineLevel="0" collapsed="false">
      <c r="A96" s="6" t="s">
        <v>334</v>
      </c>
      <c r="B96" s="6" t="s">
        <v>93</v>
      </c>
      <c r="C96" s="6" t="n">
        <v>3</v>
      </c>
      <c r="D96" s="6" t="n">
        <v>0</v>
      </c>
      <c r="E96" s="6" t="str">
        <f aca="false">A96&amp;"|"&amp;B96&amp;"|"&amp;C96&amp;"|"&amp;D96</f>
        <v>mass|city|3|0</v>
      </c>
      <c r="F96" s="22" t="n">
        <v>4</v>
      </c>
    </row>
    <row r="97" customFormat="false" ht="15" hidden="false" customHeight="false" outlineLevel="0" collapsed="false">
      <c r="A97" s="6" t="s">
        <v>334</v>
      </c>
      <c r="B97" s="6" t="s">
        <v>93</v>
      </c>
      <c r="C97" s="6" t="n">
        <v>3</v>
      </c>
      <c r="D97" s="6" t="n">
        <v>1</v>
      </c>
      <c r="E97" s="6" t="str">
        <f aca="false">A97&amp;"|"&amp;B97&amp;"|"&amp;C97&amp;"|"&amp;D97</f>
        <v>mass|city|3|1</v>
      </c>
      <c r="F97" s="22" t="n">
        <v>1</v>
      </c>
    </row>
    <row r="99" customFormat="false" ht="15" hidden="false" customHeight="false" outlineLevel="0" collapsed="false">
      <c r="A99" s="2" t="s">
        <v>335</v>
      </c>
    </row>
    <row r="100" customFormat="false" ht="15" hidden="false" customHeight="false" outlineLevel="0" collapsed="false">
      <c r="A100" s="2" t="s">
        <v>336</v>
      </c>
    </row>
    <row r="101" customFormat="false" ht="15" hidden="false" customHeight="false" outlineLevel="0" collapsed="false">
      <c r="A101" s="2" t="s">
        <v>337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3" min="1" style="0" width="10"/>
    <col collapsed="false" customWidth="true" hidden="false" outlineLevel="0" max="5" min="4" style="0" width="9"/>
    <col collapsed="false" customWidth="true" hidden="false" outlineLevel="0" max="6" min="6" style="0" width="10"/>
    <col collapsed="false" customWidth="true" hidden="false" outlineLevel="0" max="7" min="7" style="0" width="9"/>
    <col collapsed="false" customWidth="true" hidden="false" outlineLevel="0" max="9" min="8" style="0" width="10"/>
    <col collapsed="false" customWidth="true" hidden="false" outlineLevel="0" max="10" min="10" style="0" width="9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0"/>
  </cols>
  <sheetData>
    <row r="1" customFormat="false" ht="31.5" hidden="false" customHeight="true" outlineLevel="0" collapsed="false">
      <c r="A1" s="3" t="s">
        <v>338</v>
      </c>
      <c r="B1" s="3" t="s">
        <v>128</v>
      </c>
      <c r="C1" s="3" t="s">
        <v>129</v>
      </c>
      <c r="D1" s="3" t="s">
        <v>339</v>
      </c>
      <c r="E1" s="3" t="s">
        <v>131</v>
      </c>
      <c r="F1" s="3" t="s">
        <v>132</v>
      </c>
      <c r="G1" s="3" t="s">
        <v>133</v>
      </c>
      <c r="H1" s="3" t="s">
        <v>134</v>
      </c>
      <c r="I1" s="3" t="s">
        <v>135</v>
      </c>
      <c r="J1" s="3" t="s">
        <v>340</v>
      </c>
      <c r="K1" s="3" t="s">
        <v>341</v>
      </c>
      <c r="L1" s="3" t="s">
        <v>130</v>
      </c>
      <c r="M1" s="3" t="s">
        <v>308</v>
      </c>
    </row>
    <row r="2" customFormat="false" ht="15" hidden="false" customHeight="false" outlineLevel="0" collapsed="false">
      <c r="A2" s="6" t="s">
        <v>342</v>
      </c>
      <c r="B2" s="20" t="n">
        <v>-6.8954</v>
      </c>
      <c r="C2" s="20" t="n">
        <v>107.6125</v>
      </c>
      <c r="D2" s="22" t="n">
        <v>484</v>
      </c>
      <c r="E2" s="22" t="n">
        <v>56</v>
      </c>
      <c r="F2" s="22" t="n">
        <v>840</v>
      </c>
      <c r="G2" s="23" t="n">
        <f aca="false">F2/E2</f>
        <v>15</v>
      </c>
      <c r="H2" s="24" t="n">
        <v>311.9</v>
      </c>
      <c r="I2" s="24" t="n">
        <v>315.75</v>
      </c>
      <c r="J2" s="22" t="n">
        <v>227</v>
      </c>
      <c r="K2" s="27" t="n">
        <v>808.9</v>
      </c>
      <c r="L2" s="21" t="n">
        <f aca="false">2*6371000*ASIN(SQRT(SIN(RADIANS(B2-'Sources &amp; Method'!$B$28)/2)^2+COS(RADIANS('Sources &amp; Method'!$B$28))*COS(RADIANS(B2))*SIN(RADIANS(C2-'Sources &amp; Method'!$B$29)/2)^2))</f>
        <v>9920.49350083346</v>
      </c>
      <c r="M2" s="18" t="n">
        <f aca="false">1-NORMSDIST((LN(L2)-LN(K2))/'Sources &amp; Method'!$B$27)</f>
        <v>3.97681887420731E-013</v>
      </c>
    </row>
    <row r="3" customFormat="false" ht="15" hidden="false" customHeight="false" outlineLevel="0" collapsed="false">
      <c r="A3" s="6" t="s">
        <v>343</v>
      </c>
      <c r="B3" s="20" t="n">
        <v>-6.8891</v>
      </c>
      <c r="C3" s="20" t="n">
        <v>107.6032</v>
      </c>
      <c r="D3" s="22" t="n">
        <v>528</v>
      </c>
      <c r="E3" s="22" t="n">
        <v>63</v>
      </c>
      <c r="F3" s="22" t="n">
        <v>689</v>
      </c>
      <c r="G3" s="23" t="n">
        <f aca="false">F3/E3</f>
        <v>10.9365079365079</v>
      </c>
      <c r="H3" s="24" t="n">
        <v>312.5</v>
      </c>
      <c r="I3" s="24" t="n">
        <v>316.44</v>
      </c>
      <c r="J3" s="22" t="n">
        <v>243</v>
      </c>
      <c r="K3" s="27" t="n">
        <v>821.29</v>
      </c>
      <c r="L3" s="21" t="n">
        <f aca="false">2*6371000*ASIN(SQRT(SIN(RADIANS(B3-'Sources &amp; Method'!$B$28)/2)^2+COS(RADIANS('Sources &amp; Method'!$B$28))*COS(RADIANS(B3))*SIN(RADIANS(C3-'Sources &amp; Method'!$B$29)/2)^2))</f>
        <v>11078.2509900978</v>
      </c>
      <c r="M3" s="18" t="n">
        <f aca="false">1-NORMSDIST((LN(L3)-LN(K3))/'Sources &amp; Method'!$B$27)</f>
        <v>5.27355936696949E-014</v>
      </c>
    </row>
    <row r="4" customFormat="false" ht="15" hidden="false" customHeight="false" outlineLevel="0" collapsed="false">
      <c r="A4" s="6" t="s">
        <v>344</v>
      </c>
      <c r="B4" s="20" t="n">
        <v>-6.9194142</v>
      </c>
      <c r="C4" s="20" t="n">
        <v>107.5985455</v>
      </c>
      <c r="D4" s="22" t="n">
        <v>352</v>
      </c>
      <c r="E4" s="22" t="n">
        <v>57</v>
      </c>
      <c r="F4" s="22" t="n">
        <v>2597</v>
      </c>
      <c r="G4" s="23" t="n">
        <f aca="false">F4/E4</f>
        <v>45.5614035087719</v>
      </c>
      <c r="H4" s="24" t="n">
        <v>306.79</v>
      </c>
      <c r="I4" s="24" t="n">
        <v>311.92</v>
      </c>
      <c r="J4" s="22" t="n">
        <v>164</v>
      </c>
      <c r="K4" s="27" t="n">
        <v>983.01</v>
      </c>
      <c r="L4" s="21" t="n">
        <f aca="false">2*6371000*ASIN(SQRT(SIN(RADIANS(B4-'Sources &amp; Method'!$B$28)/2)^2+COS(RADIANS('Sources &amp; Method'!$B$28))*COS(RADIANS(B4))*SIN(RADIANS(C4-'Sources &amp; Method'!$B$29)/2)^2))</f>
        <v>11273.5201216738</v>
      </c>
      <c r="M4" s="18" t="n">
        <f aca="false">1-NORMSDIST((LN(L4)-LN(K4))/'Sources &amp; Method'!$B$27)</f>
        <v>1.58173474318346E-012</v>
      </c>
    </row>
    <row r="5" customFormat="false" ht="15" hidden="false" customHeight="false" outlineLevel="0" collapsed="false">
      <c r="A5" s="6" t="s">
        <v>345</v>
      </c>
      <c r="B5" s="20" t="n">
        <v>-6.9113</v>
      </c>
      <c r="C5" s="20" t="n">
        <v>107.5978</v>
      </c>
      <c r="D5" s="22" t="n">
        <v>378</v>
      </c>
      <c r="E5" s="22" t="n">
        <v>62</v>
      </c>
      <c r="F5" s="22" t="n">
        <v>626</v>
      </c>
      <c r="G5" s="23" t="n">
        <f aca="false">F5/E5</f>
        <v>10.0967741935484</v>
      </c>
      <c r="H5" s="24" t="n">
        <v>300.53</v>
      </c>
      <c r="I5" s="24" t="n">
        <v>303.48</v>
      </c>
      <c r="J5" s="22" t="n">
        <v>172</v>
      </c>
      <c r="K5" s="27" t="n">
        <v>987.56</v>
      </c>
      <c r="L5" s="21" t="n">
        <f aca="false">2*6371000*ASIN(SQRT(SIN(RADIANS(B5-'Sources &amp; Method'!$B$28)/2)^2+COS(RADIANS('Sources &amp; Method'!$B$28))*COS(RADIANS(B5))*SIN(RADIANS(C5-'Sources &amp; Method'!$B$29)/2)^2))</f>
        <v>11339.3516945046</v>
      </c>
      <c r="M5" s="18" t="n">
        <f aca="false">1-NORMSDIST((LN(L5)-LN(K5))/'Sources &amp; Method'!$B$27)</f>
        <v>1.54354307113636E-012</v>
      </c>
    </row>
    <row r="6" customFormat="false" ht="15" hidden="false" customHeight="false" outlineLevel="0" collapsed="false">
      <c r="A6" s="6" t="s">
        <v>346</v>
      </c>
      <c r="B6" s="20" t="n">
        <v>-6.923</v>
      </c>
      <c r="C6" s="20" t="n">
        <v>107.615</v>
      </c>
      <c r="D6" s="22" t="n">
        <v>400</v>
      </c>
      <c r="E6" s="22" t="n">
        <v>68</v>
      </c>
      <c r="F6" s="22" t="n">
        <v>519</v>
      </c>
      <c r="G6" s="23" t="n">
        <f aca="false">F6/E6</f>
        <v>7.63235294117647</v>
      </c>
      <c r="H6" s="24" t="n">
        <v>301.39</v>
      </c>
      <c r="I6" s="24" t="n">
        <v>303.32</v>
      </c>
      <c r="J6" s="22" t="n">
        <v>178</v>
      </c>
      <c r="K6" s="27" t="n">
        <v>921.33</v>
      </c>
      <c r="L6" s="21" t="n">
        <f aca="false">2*6371000*ASIN(SQRT(SIN(RADIANS(B6-'Sources &amp; Method'!$B$28)/2)^2+COS(RADIANS('Sources &amp; Method'!$B$28))*COS(RADIANS(B6))*SIN(RADIANS(C6-'Sources &amp; Method'!$B$29)/2)^2))</f>
        <v>9496.87741093766</v>
      </c>
      <c r="M6" s="18" t="n">
        <f aca="false">1-NORMSDIST((LN(L6)-LN(K6))/'Sources &amp; Method'!$B$27)</f>
        <v>1.31946675807626E-011</v>
      </c>
    </row>
    <row r="7" customFormat="false" ht="15" hidden="false" customHeight="false" outlineLevel="0" collapsed="false">
      <c r="A7" s="6" t="s">
        <v>347</v>
      </c>
      <c r="B7" s="20" t="n">
        <v>-6.9383</v>
      </c>
      <c r="C7" s="20" t="n">
        <v>107.6258</v>
      </c>
      <c r="D7" s="22" t="n">
        <v>551</v>
      </c>
      <c r="E7" s="22" t="n">
        <v>73</v>
      </c>
      <c r="F7" s="22" t="n">
        <v>620</v>
      </c>
      <c r="G7" s="23" t="n">
        <f aca="false">F7/E7</f>
        <v>8.49315068493151</v>
      </c>
      <c r="H7" s="24" t="n">
        <v>312.37</v>
      </c>
      <c r="I7" s="24" t="n">
        <v>319.85</v>
      </c>
      <c r="J7" s="22" t="n">
        <v>277</v>
      </c>
      <c r="K7" s="27" t="n">
        <v>1268.5</v>
      </c>
      <c r="L7" s="21" t="n">
        <f aca="false">2*6371000*ASIN(SQRT(SIN(RADIANS(B7-'Sources &amp; Method'!$B$28)/2)^2+COS(RADIANS('Sources &amp; Method'!$B$28))*COS(RADIANS(B7))*SIN(RADIANS(C7-'Sources &amp; Method'!$B$29)/2)^2))</f>
        <v>8694.55483254519</v>
      </c>
      <c r="M7" s="18" t="n">
        <f aca="false">1-NORMSDIST((LN(L7)-LN(K7))/'Sources &amp; Method'!$B$27)</f>
        <v>1.90321188808795E-008</v>
      </c>
    </row>
    <row r="8" customFormat="false" ht="15" hidden="false" customHeight="false" outlineLevel="0" collapsed="false">
      <c r="A8" s="6" t="s">
        <v>348</v>
      </c>
      <c r="B8" s="20" t="n">
        <v>-6.901176</v>
      </c>
      <c r="C8" s="20" t="n">
        <v>107.5859844</v>
      </c>
      <c r="D8" s="22" t="n">
        <v>373</v>
      </c>
      <c r="E8" s="22" t="n">
        <v>43</v>
      </c>
      <c r="F8" s="22" t="n">
        <v>763</v>
      </c>
      <c r="G8" s="23" t="n">
        <f aca="false">F8/E8</f>
        <v>17.7441860465116</v>
      </c>
      <c r="H8" s="24" t="n">
        <v>304.63</v>
      </c>
      <c r="I8" s="24" t="n">
        <v>308.2</v>
      </c>
      <c r="J8" s="22" t="n">
        <v>181</v>
      </c>
      <c r="K8" s="27" t="n">
        <v>365.03</v>
      </c>
      <c r="L8" s="21" t="n">
        <f aca="false">2*6371000*ASIN(SQRT(SIN(RADIANS(B8-'Sources &amp; Method'!$B$28)/2)^2+COS(RADIANS('Sources &amp; Method'!$B$28))*COS(RADIANS(B8))*SIN(RADIANS(C8-'Sources &amp; Method'!$B$29)/2)^2))</f>
        <v>12715.1934454828</v>
      </c>
      <c r="M8" s="18" t="n">
        <f aca="false">1-NORMSDIST((LN(L8)-LN(K8))/'Sources &amp; Method'!$B$27)</f>
        <v>0</v>
      </c>
    </row>
    <row r="9" customFormat="false" ht="15" hidden="false" customHeight="false" outlineLevel="0" collapsed="false">
      <c r="A9" s="6" t="s">
        <v>349</v>
      </c>
      <c r="B9" s="20" t="n">
        <v>-6.9024838</v>
      </c>
      <c r="C9" s="20" t="n">
        <v>107.6429996</v>
      </c>
      <c r="D9" s="22" t="n">
        <v>552</v>
      </c>
      <c r="E9" s="22" t="n">
        <v>53</v>
      </c>
      <c r="F9" s="22" t="n">
        <v>787</v>
      </c>
      <c r="G9" s="23" t="n">
        <f aca="false">F9/E9</f>
        <v>14.8490566037736</v>
      </c>
      <c r="H9" s="24" t="n">
        <v>302.77</v>
      </c>
      <c r="I9" s="24" t="n">
        <v>306.12</v>
      </c>
      <c r="J9" s="22" t="n">
        <v>271</v>
      </c>
      <c r="K9" s="27" t="n">
        <v>623.6</v>
      </c>
      <c r="L9" s="21" t="n">
        <f aca="false">2*6371000*ASIN(SQRT(SIN(RADIANS(B9-'Sources &amp; Method'!$B$28)/2)^2+COS(RADIANS('Sources &amp; Method'!$B$28))*COS(RADIANS(B9))*SIN(RADIANS(C9-'Sources &amp; Method'!$B$29)/2)^2))</f>
        <v>6464.45577457596</v>
      </c>
      <c r="M9" s="18" t="n">
        <f aca="false">1-NORMSDIST((LN(L9)-LN(K9))/'Sources &amp; Method'!$B$27)</f>
        <v>1.1816214673388E-011</v>
      </c>
    </row>
    <row r="10" customFormat="false" ht="15" hidden="false" customHeight="false" outlineLevel="0" collapsed="false">
      <c r="A10" s="6" t="s">
        <v>350</v>
      </c>
      <c r="B10" s="20" t="n">
        <v>-6.9405</v>
      </c>
      <c r="C10" s="20" t="n">
        <v>107.6104</v>
      </c>
      <c r="D10" s="22" t="n">
        <v>552</v>
      </c>
      <c r="E10" s="22" t="n">
        <v>88</v>
      </c>
      <c r="F10" s="22" t="n">
        <v>565</v>
      </c>
      <c r="G10" s="23" t="n">
        <f aca="false">F10/E10</f>
        <v>6.42045454545455</v>
      </c>
      <c r="H10" s="24" t="n">
        <v>303.85</v>
      </c>
      <c r="I10" s="24" t="n">
        <v>306.9</v>
      </c>
      <c r="J10" s="22" t="n">
        <v>262</v>
      </c>
      <c r="K10" s="27" t="n">
        <v>824.04</v>
      </c>
      <c r="L10" s="21" t="n">
        <f aca="false">2*6371000*ASIN(SQRT(SIN(RADIANS(B10-'Sources &amp; Method'!$B$28)/2)^2+COS(RADIANS('Sources &amp; Method'!$B$28))*COS(RADIANS(B10))*SIN(RADIANS(C10-'Sources &amp; Method'!$B$29)/2)^2))</f>
        <v>10388.8018882275</v>
      </c>
      <c r="M10" s="18" t="n">
        <f aca="false">1-NORMSDIST((LN(L10)-LN(K10))/'Sources &amp; Method'!$B$27)</f>
        <v>2.23043805647194E-013</v>
      </c>
    </row>
    <row r="11" customFormat="false" ht="15" hidden="false" customHeight="false" outlineLevel="0" collapsed="false">
      <c r="A11" s="6" t="s">
        <v>351</v>
      </c>
      <c r="B11" s="20" t="n">
        <v>-6.9413147</v>
      </c>
      <c r="C11" s="20" t="n">
        <v>107.6462041</v>
      </c>
      <c r="D11" s="22" t="n">
        <v>551</v>
      </c>
      <c r="E11" s="22" t="n">
        <v>96</v>
      </c>
      <c r="F11" s="22" t="n">
        <v>713</v>
      </c>
      <c r="G11" s="23" t="n">
        <f aca="false">F11/E11</f>
        <v>7.42708333333333</v>
      </c>
      <c r="H11" s="24" t="n">
        <v>308.19</v>
      </c>
      <c r="I11" s="24" t="n">
        <v>312.32</v>
      </c>
      <c r="J11" s="22" t="n">
        <v>294</v>
      </c>
      <c r="K11" s="27" t="n">
        <v>1572.72</v>
      </c>
      <c r="L11" s="21" t="n">
        <f aca="false">2*6371000*ASIN(SQRT(SIN(RADIANS(B11-'Sources &amp; Method'!$B$28)/2)^2+COS(RADIANS('Sources &amp; Method'!$B$28))*COS(RADIANS(B11))*SIN(RADIANS(C11-'Sources &amp; Method'!$B$29)/2)^2))</f>
        <v>6744.33344985384</v>
      </c>
      <c r="M11" s="18" t="n">
        <f aca="false">1-NORMSDIST((LN(L11)-LN(K11))/'Sources &amp; Method'!$B$27)</f>
        <v>1.59330827511628E-005</v>
      </c>
    </row>
    <row r="12" customFormat="false" ht="15" hidden="false" customHeight="false" outlineLevel="0" collapsed="false">
      <c r="A12" s="6" t="s">
        <v>352</v>
      </c>
      <c r="B12" s="20" t="n">
        <v>-6.9035</v>
      </c>
      <c r="C12" s="20" t="n">
        <v>107.5651</v>
      </c>
      <c r="D12" s="22" t="n">
        <v>400</v>
      </c>
      <c r="E12" s="22" t="n">
        <v>87</v>
      </c>
      <c r="F12" s="22" t="n">
        <v>2751</v>
      </c>
      <c r="G12" s="23" t="n">
        <f aca="false">F12/E12</f>
        <v>31.6206896551724</v>
      </c>
      <c r="H12" s="24" t="n">
        <v>295.42</v>
      </c>
      <c r="I12" s="24" t="n">
        <v>300.6</v>
      </c>
      <c r="J12" s="22" t="n">
        <v>167</v>
      </c>
      <c r="K12" s="27" t="n">
        <v>604.68</v>
      </c>
      <c r="L12" s="21" t="n">
        <f aca="false">2*6371000*ASIN(SQRT(SIN(RADIANS(B12-'Sources &amp; Method'!$B$28)/2)^2+COS(RADIANS('Sources &amp; Method'!$B$28))*COS(RADIANS(B12))*SIN(RADIANS(C12-'Sources &amp; Method'!$B$29)/2)^2))</f>
        <v>14987.7854145672</v>
      </c>
      <c r="M12" s="18" t="n">
        <f aca="false">1-NORMSDIST((LN(L12)-LN(K12))/'Sources &amp; Method'!$B$27)</f>
        <v>0</v>
      </c>
    </row>
    <row r="13" customFormat="false" ht="15" hidden="false" customHeight="false" outlineLevel="0" collapsed="false">
      <c r="A13" s="6" t="s">
        <v>353</v>
      </c>
      <c r="B13" s="20" t="n">
        <v>-6.903</v>
      </c>
      <c r="C13" s="20" t="n">
        <v>107.6358</v>
      </c>
      <c r="D13" s="22" t="n">
        <v>376</v>
      </c>
      <c r="E13" s="22" t="n">
        <v>68</v>
      </c>
      <c r="F13" s="22" t="n">
        <v>469</v>
      </c>
      <c r="G13" s="23" t="n">
        <f aca="false">F13/E13</f>
        <v>6.89705882352941</v>
      </c>
      <c r="H13" s="24" t="n">
        <v>301.46</v>
      </c>
      <c r="I13" s="24" t="n">
        <v>304.12</v>
      </c>
      <c r="J13" s="22" t="n">
        <v>199</v>
      </c>
      <c r="K13" s="27" t="n">
        <v>586.48</v>
      </c>
      <c r="L13" s="21" t="n">
        <f aca="false">2*6371000*ASIN(SQRT(SIN(RADIANS(B13-'Sources &amp; Method'!$B$28)/2)^2+COS(RADIANS('Sources &amp; Method'!$B$28))*COS(RADIANS(B13))*SIN(RADIANS(C13-'Sources &amp; Method'!$B$29)/2)^2))</f>
        <v>7236.88401737011</v>
      </c>
      <c r="M13" s="18" t="n">
        <f aca="false">1-NORMSDIST((LN(L13)-LN(K13))/'Sources &amp; Method'!$B$27)</f>
        <v>3.49942297361849E-013</v>
      </c>
    </row>
    <row r="14" customFormat="false" ht="15" hidden="false" customHeight="false" outlineLevel="0" collapsed="false">
      <c r="A14" s="6" t="s">
        <v>354</v>
      </c>
      <c r="B14" s="20" t="n">
        <v>-6.8780922</v>
      </c>
      <c r="C14" s="20" t="n">
        <v>107.5739515</v>
      </c>
      <c r="D14" s="22" t="n">
        <v>551</v>
      </c>
      <c r="E14" s="22" t="n">
        <v>90</v>
      </c>
      <c r="F14" s="22" t="n">
        <v>2271</v>
      </c>
      <c r="G14" s="23" t="n">
        <f aca="false">F14/E14</f>
        <v>25.2333333333333</v>
      </c>
      <c r="H14" s="24" t="n">
        <v>296.25</v>
      </c>
      <c r="I14" s="24" t="n">
        <v>302.07</v>
      </c>
      <c r="J14" s="22" t="n">
        <v>257</v>
      </c>
      <c r="K14" s="27" t="n">
        <v>778.76</v>
      </c>
      <c r="L14" s="21" t="n">
        <f aca="false">2*6371000*ASIN(SQRT(SIN(RADIANS(B14-'Sources &amp; Method'!$B$28)/2)^2+COS(RADIANS('Sources &amp; Method'!$B$28))*COS(RADIANS(B14))*SIN(RADIANS(C14-'Sources &amp; Method'!$B$29)/2)^2))</f>
        <v>14513.974963095</v>
      </c>
      <c r="M14" s="18" t="n">
        <f aca="false">1-NORMSDIST((LN(L14)-LN(K14))/'Sources &amp; Method'!$B$27)</f>
        <v>0</v>
      </c>
    </row>
    <row r="15" customFormat="false" ht="15" hidden="false" customHeight="false" outlineLevel="0" collapsed="false">
      <c r="A15" s="6" t="s">
        <v>355</v>
      </c>
      <c r="B15" s="20" t="n">
        <v>-6.9265</v>
      </c>
      <c r="C15" s="20" t="n">
        <v>107.6568</v>
      </c>
      <c r="D15" s="22" t="n">
        <v>484</v>
      </c>
      <c r="E15" s="22" t="n">
        <v>59</v>
      </c>
      <c r="F15" s="22" t="n">
        <v>462</v>
      </c>
      <c r="G15" s="23" t="n">
        <f aca="false">F15/E15</f>
        <v>7.83050847457627</v>
      </c>
      <c r="H15" s="24" t="n">
        <v>298.35</v>
      </c>
      <c r="I15" s="24" t="n">
        <v>301.05</v>
      </c>
      <c r="J15" s="22" t="n">
        <v>268</v>
      </c>
      <c r="K15" s="27" t="n">
        <v>799.58</v>
      </c>
      <c r="L15" s="21" t="n">
        <f aca="false">2*6371000*ASIN(SQRT(SIN(RADIANS(B15-'Sources &amp; Method'!$B$28)/2)^2+COS(RADIANS('Sources &amp; Method'!$B$28))*COS(RADIANS(B15))*SIN(RADIANS(C15-'Sources &amp; Method'!$B$29)/2)^2))</f>
        <v>5035.75351298815</v>
      </c>
      <c r="M15" s="18" t="n">
        <f aca="false">1-NORMSDIST((LN(L15)-LN(K15))/'Sources &amp; Method'!$B$27)</f>
        <v>7.2892367475319E-008</v>
      </c>
    </row>
    <row r="16" customFormat="false" ht="15" hidden="false" customHeight="false" outlineLevel="0" collapsed="false">
      <c r="A16" s="6" t="s">
        <v>356</v>
      </c>
      <c r="B16" s="20" t="n">
        <v>-6.942</v>
      </c>
      <c r="C16" s="20" t="n">
        <v>107.5749</v>
      </c>
      <c r="D16" s="22" t="n">
        <v>440</v>
      </c>
      <c r="E16" s="22" t="n">
        <v>71</v>
      </c>
      <c r="F16" s="22" t="n">
        <v>738</v>
      </c>
      <c r="G16" s="23" t="n">
        <f aca="false">F16/E16</f>
        <v>10.3943661971831</v>
      </c>
      <c r="H16" s="24" t="n">
        <v>291.1</v>
      </c>
      <c r="I16" s="24" t="n">
        <v>295.07</v>
      </c>
      <c r="J16" s="22" t="n">
        <v>209</v>
      </c>
      <c r="K16" s="27" t="n">
        <v>943.89</v>
      </c>
      <c r="L16" s="21" t="n">
        <f aca="false">2*6371000*ASIN(SQRT(SIN(RADIANS(B16-'Sources &amp; Method'!$B$28)/2)^2+COS(RADIANS('Sources &amp; Method'!$B$28))*COS(RADIANS(B16))*SIN(RADIANS(C16-'Sources &amp; Method'!$B$29)/2)^2))</f>
        <v>14221.6963237304</v>
      </c>
      <c r="M16" s="18" t="n">
        <f aca="false">1-NORMSDIST((LN(L16)-LN(K16))/'Sources &amp; Method'!$B$27)</f>
        <v>4.55191440096314E-015</v>
      </c>
    </row>
    <row r="17" customFormat="false" ht="15" hidden="false" customHeight="false" outlineLevel="0" collapsed="false">
      <c r="A17" s="6" t="s">
        <v>357</v>
      </c>
      <c r="B17" s="20" t="n">
        <v>-6.9383766</v>
      </c>
      <c r="C17" s="20" t="n">
        <v>107.584911</v>
      </c>
      <c r="D17" s="22" t="n">
        <v>503</v>
      </c>
      <c r="E17" s="22" t="n">
        <v>96</v>
      </c>
      <c r="F17" s="22" t="n">
        <v>654</v>
      </c>
      <c r="G17" s="23" t="n">
        <f aca="false">F17/E17</f>
        <v>6.8125</v>
      </c>
      <c r="H17" s="24" t="n">
        <v>289.1</v>
      </c>
      <c r="I17" s="24" t="n">
        <v>293.44</v>
      </c>
      <c r="J17" s="22" t="n">
        <v>240</v>
      </c>
      <c r="K17" s="27" t="n">
        <v>457.41</v>
      </c>
      <c r="L17" s="21" t="n">
        <f aca="false">2*6371000*ASIN(SQRT(SIN(RADIANS(B17-'Sources &amp; Method'!$B$28)/2)^2+COS(RADIANS('Sources &amp; Method'!$B$28))*COS(RADIANS(B17))*SIN(RADIANS(C17-'Sources &amp; Method'!$B$29)/2)^2))</f>
        <v>13055.5258593888</v>
      </c>
      <c r="M17" s="18" t="n">
        <f aca="false">1-NORMSDIST((LN(L17)-LN(K17))/'Sources &amp; Method'!$B$27)</f>
        <v>0</v>
      </c>
    </row>
    <row r="18" customFormat="false" ht="15" hidden="false" customHeight="false" outlineLevel="0" collapsed="false">
      <c r="A18" s="6" t="s">
        <v>358</v>
      </c>
      <c r="B18" s="20" t="n">
        <v>-6.8736218</v>
      </c>
      <c r="C18" s="20" t="n">
        <v>107.6161322</v>
      </c>
      <c r="D18" s="22" t="n">
        <v>479</v>
      </c>
      <c r="E18" s="22" t="n">
        <v>82</v>
      </c>
      <c r="F18" s="22" t="n">
        <v>438</v>
      </c>
      <c r="G18" s="23" t="n">
        <f aca="false">F18/E18</f>
        <v>5.34146341463415</v>
      </c>
      <c r="H18" s="24" t="n">
        <v>294.99</v>
      </c>
      <c r="I18" s="24" t="n">
        <v>299.4</v>
      </c>
      <c r="J18" s="22" t="n">
        <v>225</v>
      </c>
      <c r="K18" s="27" t="n">
        <v>766.45</v>
      </c>
      <c r="L18" s="21" t="n">
        <f aca="false">2*6371000*ASIN(SQRT(SIN(RADIANS(B18-'Sources &amp; Method'!$B$28)/2)^2+COS(RADIANS('Sources &amp; Method'!$B$28))*COS(RADIANS(B18))*SIN(RADIANS(C18-'Sources &amp; Method'!$B$29)/2)^2))</f>
        <v>10315.1829666572</v>
      </c>
      <c r="M18" s="18" t="n">
        <f aca="false">1-NORMSDIST((LN(L18)-LN(K18))/'Sources &amp; Method'!$B$27)</f>
        <v>5.54001289287953E-014</v>
      </c>
    </row>
    <row r="19" customFormat="false" ht="15" hidden="false" customHeight="false" outlineLevel="0" collapsed="false">
      <c r="A19" s="6" t="s">
        <v>359</v>
      </c>
      <c r="B19" s="20" t="n">
        <v>-6.904</v>
      </c>
      <c r="C19" s="20" t="n">
        <v>107.6222</v>
      </c>
      <c r="D19" s="22" t="n">
        <v>420</v>
      </c>
      <c r="E19" s="22" t="n">
        <v>61</v>
      </c>
      <c r="F19" s="22" t="n">
        <v>848</v>
      </c>
      <c r="G19" s="23" t="n">
        <f aca="false">F19/E19</f>
        <v>13.9016393442623</v>
      </c>
      <c r="H19" s="24" t="n">
        <v>311.82</v>
      </c>
      <c r="I19" s="24" t="n">
        <v>315.02</v>
      </c>
      <c r="J19" s="22" t="n">
        <v>182</v>
      </c>
      <c r="K19" s="27" t="n">
        <v>1115.99</v>
      </c>
      <c r="L19" s="21" t="n">
        <f aca="false">2*6371000*ASIN(SQRT(SIN(RADIANS(B19-'Sources &amp; Method'!$B$28)/2)^2+COS(RADIANS('Sources &amp; Method'!$B$28))*COS(RADIANS(B19))*SIN(RADIANS(C19-'Sources &amp; Method'!$B$29)/2)^2))</f>
        <v>8707.65633159674</v>
      </c>
      <c r="M19" s="18" t="n">
        <f aca="false">1-NORMSDIST((LN(L19)-LN(K19))/'Sources &amp; Method'!$B$27)</f>
        <v>2.18044915456517E-009</v>
      </c>
    </row>
    <row r="20" customFormat="false" ht="15" hidden="false" customHeight="false" outlineLevel="0" collapsed="false">
      <c r="A20" s="6" t="s">
        <v>360</v>
      </c>
      <c r="B20" s="20" t="n">
        <v>-6.9573</v>
      </c>
      <c r="C20" s="20" t="n">
        <v>107.6716</v>
      </c>
      <c r="D20" s="22" t="n">
        <v>528</v>
      </c>
      <c r="E20" s="22" t="n">
        <v>98</v>
      </c>
      <c r="F20" s="22" t="n">
        <v>434</v>
      </c>
      <c r="G20" s="23" t="n">
        <f aca="false">F20/E20</f>
        <v>4.42857142857143</v>
      </c>
      <c r="H20" s="24" t="n">
        <v>289.55</v>
      </c>
      <c r="I20" s="24" t="n">
        <v>294.37</v>
      </c>
      <c r="J20" s="22" t="n">
        <v>328</v>
      </c>
      <c r="K20" s="27" t="n">
        <v>9456.77</v>
      </c>
      <c r="L20" s="21" t="n">
        <f aca="false">2*6371000*ASIN(SQRT(SIN(RADIANS(B20-'Sources &amp; Method'!$B$28)/2)^2+COS(RADIANS('Sources &amp; Method'!$B$28))*COS(RADIANS(B20))*SIN(RADIANS(C20-'Sources &amp; Method'!$B$29)/2)^2))</f>
        <v>5822.06281741301</v>
      </c>
      <c r="M20" s="18" t="n">
        <f aca="false">1-NORMSDIST((LN(L20)-LN(K20))/'Sources &amp; Method'!$B$27)</f>
        <v>0.917116188563471</v>
      </c>
    </row>
    <row r="21" customFormat="false" ht="15" hidden="false" customHeight="false" outlineLevel="0" collapsed="false">
      <c r="A21" s="6" t="s">
        <v>361</v>
      </c>
      <c r="B21" s="20" t="n">
        <v>-6.9422</v>
      </c>
      <c r="C21" s="20" t="n">
        <v>107.6309</v>
      </c>
      <c r="D21" s="22" t="n">
        <v>550</v>
      </c>
      <c r="E21" s="22" t="n">
        <v>98</v>
      </c>
      <c r="F21" s="22" t="n">
        <v>2721</v>
      </c>
      <c r="G21" s="23" t="n">
        <f aca="false">F21/E21</f>
        <v>27.765306122449</v>
      </c>
      <c r="H21" s="24" t="n">
        <v>303.7</v>
      </c>
      <c r="I21" s="24" t="n">
        <v>308.98</v>
      </c>
      <c r="J21" s="22" t="n">
        <v>300</v>
      </c>
      <c r="K21" s="27" t="n">
        <v>2398.65</v>
      </c>
      <c r="L21" s="21" t="n">
        <f aca="false">2*6371000*ASIN(SQRT(SIN(RADIANS(B21-'Sources &amp; Method'!$B$28)/2)^2+COS(RADIANS('Sources &amp; Method'!$B$28))*COS(RADIANS(B21))*SIN(RADIANS(C21-'Sources &amp; Method'!$B$29)/2)^2))</f>
        <v>8319.11369230445</v>
      </c>
      <c r="M21" s="18" t="n">
        <f aca="false">1-NORMSDIST((LN(L21)-LN(K21))/'Sources &amp; Method'!$B$27)</f>
        <v>0.000190226244157876</v>
      </c>
    </row>
    <row r="22" customFormat="false" ht="15" hidden="false" customHeight="false" outlineLevel="0" collapsed="false">
      <c r="A22" s="6" t="s">
        <v>362</v>
      </c>
      <c r="B22" s="20" t="n">
        <v>-6.91277</v>
      </c>
      <c r="C22" s="20" t="n">
        <v>107.664913</v>
      </c>
      <c r="D22" s="22" t="n">
        <v>438</v>
      </c>
      <c r="E22" s="22" t="n">
        <v>86</v>
      </c>
      <c r="F22" s="22" t="n">
        <v>2895</v>
      </c>
      <c r="G22" s="23" t="n">
        <f aca="false">F22/E22</f>
        <v>33.6627906976744</v>
      </c>
      <c r="H22" s="24" t="n">
        <v>303.68</v>
      </c>
      <c r="I22" s="24" t="n">
        <v>306.85</v>
      </c>
      <c r="J22" s="22" t="n">
        <v>183</v>
      </c>
      <c r="K22" s="27" t="n">
        <v>730.12</v>
      </c>
      <c r="L22" s="21" t="n">
        <f aca="false">2*6371000*ASIN(SQRT(SIN(RADIANS(B22-'Sources &amp; Method'!$B$28)/2)^2+COS(RADIANS('Sources &amp; Method'!$B$28))*COS(RADIANS(B22))*SIN(RADIANS(C22-'Sources &amp; Method'!$B$29)/2)^2))</f>
        <v>3929.16344498799</v>
      </c>
      <c r="M22" s="18" t="n">
        <f aca="false">1-NORMSDIST((LN(L22)-LN(K22))/'Sources &amp; Method'!$B$27)</f>
        <v>7.60357808493595E-007</v>
      </c>
    </row>
    <row r="23" customFormat="false" ht="15" hidden="false" customHeight="false" outlineLevel="0" collapsed="false">
      <c r="A23" s="6" t="s">
        <v>363</v>
      </c>
      <c r="B23" s="20" t="n">
        <v>-6.9083</v>
      </c>
      <c r="C23" s="20" t="n">
        <v>107.6887</v>
      </c>
      <c r="D23" s="22" t="n">
        <v>440</v>
      </c>
      <c r="E23" s="22" t="n">
        <v>79</v>
      </c>
      <c r="F23" s="22" t="n">
        <v>760</v>
      </c>
      <c r="G23" s="23" t="n">
        <f aca="false">F23/E23</f>
        <v>9.62025316455696</v>
      </c>
      <c r="H23" s="24" t="n">
        <v>305.12</v>
      </c>
      <c r="I23" s="24" t="n">
        <v>311.42</v>
      </c>
      <c r="J23" s="22" t="n">
        <v>202</v>
      </c>
      <c r="K23" s="27" t="n">
        <v>481.18</v>
      </c>
      <c r="L23" s="21" t="n">
        <f aca="false">2*6371000*ASIN(SQRT(SIN(RADIANS(B23-'Sources &amp; Method'!$B$28)/2)^2+COS(RADIANS('Sources &amp; Method'!$B$28))*COS(RADIANS(B23))*SIN(RADIANS(C23-'Sources &amp; Method'!$B$29)/2)^2))</f>
        <v>1425.13573235732</v>
      </c>
      <c r="M23" s="18" t="n">
        <f aca="false">1-NORMSDIST((LN(L23)-LN(K23))/'Sources &amp; Method'!$B$27)</f>
        <v>0.000960339456483439</v>
      </c>
    </row>
    <row r="24" customFormat="false" ht="15" hidden="false" customHeight="false" outlineLevel="0" collapsed="false">
      <c r="A24" s="6" t="s">
        <v>364</v>
      </c>
      <c r="B24" s="20" t="n">
        <v>-6.9665697</v>
      </c>
      <c r="C24" s="20" t="n">
        <v>107.6652566</v>
      </c>
      <c r="D24" s="22" t="n">
        <v>551</v>
      </c>
      <c r="E24" s="22" t="n">
        <v>88</v>
      </c>
      <c r="F24" s="22" t="n">
        <v>454</v>
      </c>
      <c r="G24" s="23" t="n">
        <f aca="false">F24/E24</f>
        <v>5.15909090909091</v>
      </c>
      <c r="H24" s="24" t="n">
        <v>295.02</v>
      </c>
      <c r="I24" s="24" t="n">
        <v>301.55</v>
      </c>
      <c r="J24" s="22" t="n">
        <v>351</v>
      </c>
      <c r="K24" s="27" t="n">
        <v>7066.9</v>
      </c>
      <c r="L24" s="21" t="n">
        <f aca="false">2*6371000*ASIN(SQRT(SIN(RADIANS(B24-'Sources &amp; Method'!$B$28)/2)^2+COS(RADIANS('Sources &amp; Method'!$B$28))*COS(RADIANS(B24))*SIN(RADIANS(C24-'Sources &amp; Method'!$B$29)/2)^2))</f>
        <v>7067.97112556758</v>
      </c>
      <c r="M24" s="18" t="n">
        <f aca="false">1-NORMSDIST((LN(L24)-LN(K24))/'Sources &amp; Method'!$B$27)</f>
        <v>0.499827249013069</v>
      </c>
    </row>
    <row r="25" customFormat="false" ht="15" hidden="false" customHeight="false" outlineLevel="0" collapsed="false">
      <c r="A25" s="6" t="s">
        <v>365</v>
      </c>
      <c r="B25" s="20" t="n">
        <v>-6.9173</v>
      </c>
      <c r="C25" s="20" t="n">
        <v>107.7253</v>
      </c>
      <c r="D25" s="22" t="n">
        <v>440</v>
      </c>
      <c r="E25" s="22" t="n">
        <v>62</v>
      </c>
      <c r="F25" s="22" t="n">
        <v>589</v>
      </c>
      <c r="G25" s="23" t="n">
        <f aca="false">F25/E25</f>
        <v>9.5</v>
      </c>
      <c r="H25" s="24" t="n">
        <v>296.43</v>
      </c>
      <c r="I25" s="24" t="n">
        <v>300.77</v>
      </c>
      <c r="J25" s="22" t="n">
        <v>209</v>
      </c>
      <c r="K25" s="27" t="n">
        <v>865.7</v>
      </c>
      <c r="L25" s="21" t="n">
        <f aca="false">2*6371000*ASIN(SQRT(SIN(RADIANS(B25-'Sources &amp; Method'!$B$28)/2)^2+COS(RADIANS('Sources &amp; Method'!$B$28))*COS(RADIANS(B25))*SIN(RADIANS(C25-'Sources &amp; Method'!$B$29)/2)^2))</f>
        <v>2769.9898003905</v>
      </c>
      <c r="M25" s="18" t="n">
        <f aca="false">1-NORMSDIST((LN(L25)-LN(K25))/'Sources &amp; Method'!$B$27)</f>
        <v>0.000445226738557736</v>
      </c>
    </row>
    <row r="26" customFormat="false" ht="15" hidden="false" customHeight="false" outlineLevel="0" collapsed="false">
      <c r="A26" s="6" t="s">
        <v>366</v>
      </c>
      <c r="B26" s="20" t="n">
        <v>-6.9592</v>
      </c>
      <c r="C26" s="20" t="n">
        <v>107.7073</v>
      </c>
      <c r="D26" s="22" t="n">
        <v>549</v>
      </c>
      <c r="E26" s="22" t="n">
        <v>82</v>
      </c>
      <c r="F26" s="22" t="n">
        <v>2241</v>
      </c>
      <c r="G26" s="23" t="n">
        <f aca="false">F26/E26</f>
        <v>27.3292682926829</v>
      </c>
      <c r="H26" s="24" t="n">
        <v>293.13</v>
      </c>
      <c r="I26" s="24" t="n">
        <v>297.2</v>
      </c>
      <c r="J26" s="22" t="n">
        <v>262</v>
      </c>
      <c r="K26" s="27" t="n">
        <v>2455.28</v>
      </c>
      <c r="L26" s="21" t="n">
        <f aca="false">2*6371000*ASIN(SQRT(SIN(RADIANS(B26-'Sources &amp; Method'!$B$28)/2)^2+COS(RADIANS('Sources &amp; Method'!$B$28))*COS(RADIANS(B26))*SIN(RADIANS(C26-'Sources &amp; Method'!$B$29)/2)^2))</f>
        <v>5136.74300765264</v>
      </c>
      <c r="M26" s="18" t="n">
        <f aca="false">1-NORMSDIST((LN(L26)-LN(K26))/'Sources &amp; Method'!$B$27)</f>
        <v>0.0174687872950396</v>
      </c>
    </row>
    <row r="27" customFormat="false" ht="15" hidden="false" customHeight="false" outlineLevel="0" collapsed="false">
      <c r="A27" s="6" t="s">
        <v>367</v>
      </c>
      <c r="B27" s="20" t="n">
        <v>-6.909741</v>
      </c>
      <c r="C27" s="20" t="n">
        <v>107.675551</v>
      </c>
      <c r="D27" s="22" t="n">
        <v>252</v>
      </c>
      <c r="E27" s="22" t="n">
        <v>24</v>
      </c>
      <c r="F27" s="22" t="n">
        <v>177</v>
      </c>
      <c r="G27" s="23" t="n">
        <f aca="false">F27/E27</f>
        <v>7.375</v>
      </c>
      <c r="H27" s="24" t="n">
        <v>296.1</v>
      </c>
      <c r="I27" s="24" t="n">
        <v>298.9</v>
      </c>
      <c r="J27" s="22" t="n">
        <v>143</v>
      </c>
      <c r="K27" s="27" t="n">
        <v>1584.54</v>
      </c>
      <c r="L27" s="21" t="n">
        <f aca="false">2*6371000*ASIN(SQRT(SIN(RADIANS(B27-'Sources &amp; Method'!$B$28)/2)^2+COS(RADIANS('Sources &amp; Method'!$B$28))*COS(RADIANS(B27))*SIN(RADIANS(C27-'Sources &amp; Method'!$B$29)/2)^2))</f>
        <v>2785.57999710323</v>
      </c>
      <c r="M27" s="18" t="n">
        <f aca="false">1-NORMSDIST((LN(L27)-LN(K27))/'Sources &amp; Method'!$B$27)</f>
        <v>0.0534927948080177</v>
      </c>
    </row>
    <row r="28" customFormat="false" ht="15" hidden="false" customHeight="false" outlineLevel="0" collapsed="false">
      <c r="A28" s="6" t="s">
        <v>368</v>
      </c>
      <c r="B28" s="20" t="n">
        <v>-6.9045422</v>
      </c>
      <c r="C28" s="20" t="n">
        <v>107.5998026</v>
      </c>
      <c r="D28" s="22" t="n">
        <v>252</v>
      </c>
      <c r="E28" s="22" t="n">
        <v>22</v>
      </c>
      <c r="F28" s="22" t="n">
        <v>70</v>
      </c>
      <c r="G28" s="23" t="n">
        <f aca="false">F28/E28</f>
        <v>3.18181818181818</v>
      </c>
      <c r="H28" s="24" t="n">
        <v>286.2</v>
      </c>
      <c r="I28" s="24" t="n">
        <v>294.12</v>
      </c>
      <c r="J28" s="22" t="n">
        <v>112</v>
      </c>
      <c r="K28" s="27" t="n">
        <v>8518.26</v>
      </c>
      <c r="L28" s="21" t="n">
        <f aca="false">2*6371000*ASIN(SQRT(SIN(RADIANS(B28-'Sources &amp; Method'!$B$28)/2)^2+COS(RADIANS('Sources &amp; Method'!$B$28))*COS(RADIANS(B28))*SIN(RADIANS(C28-'Sources &amp; Method'!$B$29)/2)^2))</f>
        <v>11160.2701917364</v>
      </c>
      <c r="M28" s="18" t="n">
        <f aca="false">1-NORMSDIST((LN(L28)-LN(K28))/'Sources &amp; Method'!$B$27)</f>
        <v>0.220101152314926</v>
      </c>
    </row>
    <row r="30" customFormat="false" ht="15" hidden="false" customHeight="false" outlineLevel="0" collapsed="false">
      <c r="A30" s="2" t="s">
        <v>369</v>
      </c>
    </row>
    <row r="31" customFormat="false" ht="15" hidden="false" customHeight="false" outlineLevel="0" collapsed="false">
      <c r="A31" s="2" t="s">
        <v>370</v>
      </c>
    </row>
  </sheetData>
  <autoFilter ref="A1:M2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2026-10-24T14:15:53Z</dcterms:created>
  <dc:creator>openpyxl</dc:creator>
  <dc:description/>
  <dc:language>en-US</dc:language>
  <cp:lastModifiedBy/>
  <dcterms:modified xsi:type="dcterms:W3CDTF">2026-10-24T14:15:53Z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